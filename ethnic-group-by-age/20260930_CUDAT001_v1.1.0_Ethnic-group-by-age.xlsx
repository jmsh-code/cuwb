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Summary" sheetId="2" state="visible" r:id="rId4"/>
    <sheet name="West Berkshire" sheetId="3" state="visible" r:id="rId5"/>
    <sheet name="Reading" sheetId="4" state="visible" r:id="rId6"/>
    <sheet name="Wokingham" sheetId="5" state="visible" r:id="rId7"/>
    <sheet name="Jewish adjustmen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<sst xmlns="http://schemas.openxmlformats.org/spreadsheetml/2006/main" count="308" uniqueCount="94">
  <si>
    <t xml:space="preserve">Community United West Berkshire</t>
  </si>
  <si>
    <t xml:space="preserve">Ethnic group by age: West Berkshire, Reading and Wokingham</t>
  </si>
  <si>
    <t xml:space="preserve">Reference: CUDAT001    Version: v1.1.0</t>
  </si>
  <si>
    <t xml:space="preserve">Date: 30/09/2026</t>
  </si>
  <si>
    <t xml:space="preserve">Author: JMSH</t>
  </si>
  <si>
    <t xml:space="preserve">Status: Issued</t>
  </si>
  <si>
    <t xml:space="preserve">Item</t>
  </si>
  <si>
    <t xml:space="preserve">Detail</t>
  </si>
  <si>
    <t xml:space="preserve">Contents</t>
  </si>
  <si>
    <t xml:space="preserve">One tab per area gives counts (left) and each group's share of its age band (right).  The Summary tab compares the three areas.  The Jewish adjustment tab shows how the Jewish row was derived.</t>
  </si>
  <si>
    <t xml:space="preserve">Source</t>
  </si>
  <si>
    <t xml:space="preserve">Office for National Statistics (ONS), Census 2021, custom dataset: ethnic group (20 categories) by age (6 categories), usual residents, lower-tier local authority.  Census Day was 21 March 2021.</t>
  </si>
  <si>
    <t xml:space="preserve">Jewish row</t>
  </si>
  <si>
    <t xml:space="preserve">"Jewish" was not a tick-box answer to the ethnic group question, but people could write it in.  ONS counts those write-ins within Other White, Other Mixed and Any other ethnic group, depending on the heading they were written under.  They have been moved out of those rows into a separate Jewish row, so the totals are unchanged.</t>
  </si>
  <si>
    <t xml:space="preserve">Jewish row – scope</t>
  </si>
  <si>
    <t xml:space="preserve">The row counts only people who wrote in Jewish as their ethnic group.  Many more people gave Jewish as their religion, most of whom ticked White British as their ethnic group: 236 in West Berkshire, 329 in Reading and 435 in Wokingham (TS030, Religion).  The Jewish row is therefore not a count of the Jewish population.</t>
  </si>
  <si>
    <t xml:space="preserve">Jewish row – ages</t>
  </si>
  <si>
    <t xml:space="preserve">ONS publishes the write-in counts (TS022, Ethnic group detailed) for all ages only.  The age split is an estimate, made by applying the South East age profile of people who identified as Jewish through the ethnic group question (ONS, Jewish identity data: age and sex, table Jewish_5) and rounding to whole people.  The all-ages Jewish figures are exact.</t>
  </si>
  <si>
    <t xml:space="preserve">Licence</t>
  </si>
  <si>
    <t xml:space="preserve">Source: Office for National Statistics, licensed under the Open Government Licence v3.0.</t>
  </si>
  <si>
    <t xml:space="preserve">Query</t>
  </si>
  <si>
    <t xml:space="preserve">https://api.beta.ons.gov.uk/v1/population-types/UR/census-observations?dimensions=ethnic_group_tb_20b,resident_age_6a&amp;area-type=ltla,E06000037,E06000038,E06000041</t>
  </si>
  <si>
    <t xml:space="preserve">Accuracy</t>
  </si>
  <si>
    <t xml:space="preserve">ONS adds small random adjustments to cells to protect confidentiality.  Group totals match the published TS021 (Ethnic group) table to within one to four people; White British matches exactly.  Counts under 50 should be treated as approximate.</t>
  </si>
  <si>
    <t xml:space="preserve">Definitions</t>
  </si>
  <si>
    <t xml:space="preserve">"White British" is the Census category "White: English, Welsh, Scottish, Northern Irish or British".  Percentages are shares of each age band, so each age column sums to 100%.</t>
  </si>
  <si>
    <t xml:space="preserve">Colour</t>
  </si>
  <si>
    <t xml:space="preserve">Figures in blue are keyed from the ONS sources, or, for the Jewish age split, calculated as described above.  Everything else is a formula.</t>
  </si>
  <si>
    <t xml:space="preserve">Ethnic group by age – comparison of the three areas</t>
  </si>
  <si>
    <t xml:space="preserve">All figures are formulas drawing on the area tabs.</t>
  </si>
  <si>
    <t xml:space="preserve">White British as a share of each age band</t>
  </si>
  <si>
    <t xml:space="preserve">Age band</t>
  </si>
  <si>
    <t xml:space="preserve">West Berkshire</t>
  </si>
  <si>
    <t xml:space="preserve">Reading</t>
  </si>
  <si>
    <t xml:space="preserve">Wokingham</t>
  </si>
  <si>
    <t xml:space="preserve">0–15</t>
  </si>
  <si>
    <t xml:space="preserve">16–24</t>
  </si>
  <si>
    <t xml:space="preserve">25–34</t>
  </si>
  <si>
    <t xml:space="preserve">35–49</t>
  </si>
  <si>
    <t xml:space="preserve">50–64</t>
  </si>
  <si>
    <t xml:space="preserve">65+</t>
  </si>
  <si>
    <t xml:space="preserve">All ages</t>
  </si>
  <si>
    <t xml:space="preserve">Share of all usual residents, all ages</t>
  </si>
  <si>
    <t xml:space="preserve">Ethnic group</t>
  </si>
  <si>
    <t xml:space="preserve">Asian, Asian British or Asian Welsh</t>
  </si>
  <si>
    <t xml:space="preserve">   Bangladeshi</t>
  </si>
  <si>
    <t xml:space="preserve">   Chinese</t>
  </si>
  <si>
    <t xml:space="preserve">   Indian</t>
  </si>
  <si>
    <t xml:space="preserve">   Pakistani</t>
  </si>
  <si>
    <t xml:space="preserve">   Other Asian</t>
  </si>
  <si>
    <t xml:space="preserve">Black, Black British, Black Welsh, Caribbean or African</t>
  </si>
  <si>
    <t xml:space="preserve">   African</t>
  </si>
  <si>
    <t xml:space="preserve">   Caribbean</t>
  </si>
  <si>
    <t xml:space="preserve">   Other Black</t>
  </si>
  <si>
    <t xml:space="preserve">Mixed or Multiple ethnic groups</t>
  </si>
  <si>
    <t xml:space="preserve">   White and Asian</t>
  </si>
  <si>
    <t xml:space="preserve">   White and Black African</t>
  </si>
  <si>
    <t xml:space="preserve">   White and Black Caribbean</t>
  </si>
  <si>
    <t xml:space="preserve">   Other Mixed</t>
  </si>
  <si>
    <t xml:space="preserve">White</t>
  </si>
  <si>
    <t xml:space="preserve">   White British</t>
  </si>
  <si>
    <t xml:space="preserve">   Irish</t>
  </si>
  <si>
    <t xml:space="preserve">   Gypsy or Irish Traveller</t>
  </si>
  <si>
    <t xml:space="preserve">   Roma</t>
  </si>
  <si>
    <t xml:space="preserve">   Other White</t>
  </si>
  <si>
    <t xml:space="preserve">Other ethnic group</t>
  </si>
  <si>
    <t xml:space="preserve">   Arab</t>
  </si>
  <si>
    <t xml:space="preserve">   Any other ethnic group</t>
  </si>
  <si>
    <t xml:space="preserve">Jewish (written in as ethnic group)</t>
  </si>
  <si>
    <t xml:space="preserve">Ethnic group by age – West Berkshire</t>
  </si>
  <si>
    <t xml:space="preserve">Census 2021, usual residents.  Source and notes on the Notes tab.</t>
  </si>
  <si>
    <t xml:space="preserve">Count of usual residents</t>
  </si>
  <si>
    <t xml:space="preserve">Share of age band</t>
  </si>
  <si>
    <t xml:space="preserve">Jewish (written in as ethnic group) – age split estimated</t>
  </si>
  <si>
    <t xml:space="preserve">All usual residents</t>
  </si>
  <si>
    <t xml:space="preserve">Ethnic group by age – Reading</t>
  </si>
  <si>
    <t xml:space="preserve">Ethnic group by age – Wokingham</t>
  </si>
  <si>
    <t xml:space="preserve">Jewish row – derivation of the age split</t>
  </si>
  <si>
    <t xml:space="preserve">Blue figures are keyed; black are formulas.  See Notes for the method.</t>
  </si>
  <si>
    <t xml:space="preserve">South East age profile of people identifying as Jewish through the ethnic group question</t>
  </si>
  <si>
    <t xml:space="preserve">Count (ethnic group only + both), South East</t>
  </si>
  <si>
    <t xml:space="preserve">Share of total</t>
  </si>
  <si>
    <t xml:space="preserve">Age 15 is taken as one fifth of the 15–19 band.</t>
  </si>
  <si>
    <t xml:space="preserve">Row</t>
  </si>
  <si>
    <t xml:space="preserve">Measure</t>
  </si>
  <si>
    <t xml:space="preserve">Write-in total</t>
  </si>
  <si>
    <t xml:space="preserve">Check</t>
  </si>
  <si>
    <t xml:space="preserve">Other White</t>
  </si>
  <si>
    <t xml:space="preserve">ONS count</t>
  </si>
  <si>
    <t xml:space="preserve">Less: Jewish write-ins (estimate by age)</t>
  </si>
  <si>
    <t xml:space="preserve">Adjusted count</t>
  </si>
  <si>
    <t xml:space="preserve">Any other ethnic group</t>
  </si>
  <si>
    <t xml:space="preserve">Other Mixed</t>
  </si>
  <si>
    <t xml:space="preserve">Total of the three estimates</t>
  </si>
</sst>
</file>

<file path=xl/styles.xml><?xml version="1.0" encoding="utf-8"?>
<styleSheet xmlns="http://schemas.openxmlformats.org/spreadsheetml/2006/main">
  <numFmts count="5">
    <numFmt numFmtId="164" formatCode="General"/>
    <numFmt numFmtId="165" formatCode="0.0%;\(0.0%\);\–"/>
    <numFmt numFmtId="166" formatCode="#,##0;\(#,##0\);\–"/>
    <numFmt numFmtId="167" formatCode="#,##0.0"/>
    <numFmt numFmtId="168" formatCode="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i val="true"/>
      <sz val="10"/>
      <name val="Arial"/>
      <family val="0"/>
      <charset val="1"/>
    </font>
  </fonts>
  <fills count="3">
    <fill>
      <patternFill patternType="none"/>
    </fill>
    <fill>
      <patternFill patternType="gray125"/>
    </fill>
    <fill>
      <patternFill patternType="solid">
        <fgColor rgb="FFDCE6F1"/>
        <bgColor rgb="FFCC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0"/>
  </cols>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8" customFormat="false" ht="15" hidden="false" customHeight="false" outlineLevel="0" collapsed="false">
      <c r="A8" s="3" t="s">
        <v>6</v>
      </c>
      <c r="B8" s="3" t="s">
        <v>7</v>
      </c>
    </row>
    <row r="9" customFormat="false" ht="23.85" hidden="false" customHeight="false" outlineLevel="0" collapsed="false">
      <c r="A9" s="4" t="s">
        <v>8</v>
      </c>
      <c r="B9" s="5" t="s">
        <v>9</v>
      </c>
    </row>
    <row r="10" customFormat="false" ht="23.85" hidden="false" customHeight="false" outlineLevel="0" collapsed="false">
      <c r="A10" s="4" t="s">
        <v>10</v>
      </c>
      <c r="B10" s="5" t="s">
        <v>11</v>
      </c>
    </row>
    <row r="11" customFormat="false" ht="35.05" hidden="false" customHeight="false" outlineLevel="0" collapsed="false">
      <c r="A11" s="4" t="s">
        <v>12</v>
      </c>
      <c r="B11" s="5" t="s">
        <v>13</v>
      </c>
    </row>
    <row r="12" customFormat="false" ht="35.05" hidden="false" customHeight="false" outlineLevel="0" collapsed="false">
      <c r="A12" s="4" t="s">
        <v>14</v>
      </c>
      <c r="B12" s="5" t="s">
        <v>15</v>
      </c>
    </row>
    <row r="13" customFormat="false" ht="35.05" hidden="false" customHeight="false" outlineLevel="0" collapsed="false">
      <c r="A13" s="4" t="s">
        <v>16</v>
      </c>
      <c r="B13" s="5" t="s">
        <v>17</v>
      </c>
    </row>
    <row r="14" customFormat="false" ht="15" hidden="false" customHeight="false" outlineLevel="0" collapsed="false">
      <c r="A14" s="4" t="s">
        <v>18</v>
      </c>
      <c r="B14" s="5" t="s">
        <v>19</v>
      </c>
    </row>
    <row r="15" customFormat="false" ht="23.85" hidden="false" customHeight="false" outlineLevel="0" collapsed="false">
      <c r="A15" s="4" t="s">
        <v>20</v>
      </c>
      <c r="B15" s="5" t="s">
        <v>21</v>
      </c>
    </row>
    <row r="16" customFormat="false" ht="23.85" hidden="false" customHeight="false" outlineLevel="0" collapsed="false">
      <c r="A16" s="4" t="s">
        <v>22</v>
      </c>
      <c r="B16" s="5" t="s">
        <v>23</v>
      </c>
    </row>
    <row r="17" customFormat="false" ht="23.85" hidden="false" customHeight="false" outlineLevel="0" collapsed="false">
      <c r="A17" s="4" t="s">
        <v>24</v>
      </c>
      <c r="B17" s="5" t="s">
        <v>25</v>
      </c>
    </row>
    <row r="18" customFormat="false" ht="23.85" hidden="false" customHeight="false" outlineLevel="0" collapsed="false">
      <c r="A18" s="4" t="s">
        <v>26</v>
      </c>
      <c r="B18" s="5"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5"/>
  </cols>
  <sheetData>
    <row r="1" customFormat="false" ht="15" hidden="false" customHeight="false" outlineLevel="0" collapsed="false">
      <c r="A1" s="1" t="s">
        <v>0</v>
      </c>
    </row>
    <row r="2" customFormat="false" ht="15" hidden="false" customHeight="false" outlineLevel="0" collapsed="false">
      <c r="A2" s="1" t="s">
        <v>28</v>
      </c>
    </row>
    <row r="3" customFormat="false" ht="15" hidden="false" customHeight="false" outlineLevel="0" collapsed="false">
      <c r="A3" s="2" t="s">
        <v>2</v>
      </c>
    </row>
    <row r="4" customFormat="false" ht="15" hidden="false" customHeight="false" outlineLevel="0" collapsed="false">
      <c r="A4" s="2" t="s">
        <v>29</v>
      </c>
    </row>
    <row r="6" customFormat="false" ht="15" hidden="false" customHeight="false" outlineLevel="0" collapsed="false">
      <c r="A6" s="6" t="s">
        <v>30</v>
      </c>
    </row>
    <row r="7" customFormat="false" ht="15" hidden="false" customHeight="false" outlineLevel="0" collapsed="false">
      <c r="A7" s="3" t="s">
        <v>31</v>
      </c>
      <c r="B7" s="3" t="s">
        <v>32</v>
      </c>
      <c r="C7" s="3" t="s">
        <v>33</v>
      </c>
      <c r="D7" s="3" t="s">
        <v>34</v>
      </c>
    </row>
    <row r="8" customFormat="false" ht="15" hidden="false" customHeight="false" outlineLevel="0" collapsed="false">
      <c r="A8" s="2" t="s">
        <v>35</v>
      </c>
      <c r="B8" s="7" t="n">
        <f aca="false">'West Berkshire'!J24</f>
        <v>0.825789645066754</v>
      </c>
      <c r="C8" s="7" t="n">
        <f aca="false">Reading!J24</f>
        <v>0.444877217539482</v>
      </c>
      <c r="D8" s="7" t="n">
        <f aca="false">Wokingham!J24</f>
        <v>0.635332606324973</v>
      </c>
    </row>
    <row r="9" customFormat="false" ht="15" hidden="false" customHeight="false" outlineLevel="0" collapsed="false">
      <c r="A9" s="2" t="s">
        <v>36</v>
      </c>
      <c r="B9" s="7" t="n">
        <f aca="false">'West Berkshire'!K24</f>
        <v>0.861980609418283</v>
      </c>
      <c r="C9" s="7" t="n">
        <f aca="false">Reading!K24</f>
        <v>0.558821056172217</v>
      </c>
      <c r="D9" s="7" t="n">
        <f aca="false">Wokingham!K24</f>
        <v>0.721730519279569</v>
      </c>
    </row>
    <row r="10" customFormat="false" ht="15" hidden="false" customHeight="false" outlineLevel="0" collapsed="false">
      <c r="A10" s="2" t="s">
        <v>37</v>
      </c>
      <c r="B10" s="7" t="n">
        <f aca="false">'West Berkshire'!L24</f>
        <v>0.805764821487062</v>
      </c>
      <c r="C10" s="7" t="n">
        <f aca="false">Reading!L24</f>
        <v>0.451807228915663</v>
      </c>
      <c r="D10" s="7" t="n">
        <f aca="false">Wokingham!L24</f>
        <v>0.710587767675262</v>
      </c>
    </row>
    <row r="11" customFormat="false" ht="15" hidden="false" customHeight="false" outlineLevel="0" collapsed="false">
      <c r="A11" s="2" t="s">
        <v>38</v>
      </c>
      <c r="B11" s="7" t="n">
        <f aca="false">'West Berkshire'!M24</f>
        <v>0.783403831798955</v>
      </c>
      <c r="C11" s="7" t="n">
        <f aca="false">Reading!M24</f>
        <v>0.441107352219611</v>
      </c>
      <c r="D11" s="7" t="n">
        <f aca="false">Wokingham!M24</f>
        <v>0.610531357128453</v>
      </c>
    </row>
    <row r="12" customFormat="false" ht="15" hidden="false" customHeight="false" outlineLevel="0" collapsed="false">
      <c r="A12" s="2" t="s">
        <v>39</v>
      </c>
      <c r="B12" s="7" t="n">
        <f aca="false">'West Berkshire'!N24</f>
        <v>0.895017482517483</v>
      </c>
      <c r="C12" s="7" t="n">
        <f aca="false">Reading!N24</f>
        <v>0.652797860034702</v>
      </c>
      <c r="D12" s="7" t="n">
        <f aca="false">Wokingham!N24</f>
        <v>0.814949730438584</v>
      </c>
    </row>
    <row r="13" customFormat="false" ht="15" hidden="false" customHeight="false" outlineLevel="0" collapsed="false">
      <c r="A13" s="2" t="s">
        <v>40</v>
      </c>
      <c r="B13" s="7" t="n">
        <f aca="false">'West Berkshire'!O24</f>
        <v>0.945188523549575</v>
      </c>
      <c r="C13" s="7" t="n">
        <f aca="false">Reading!O24</f>
        <v>0.784954950660247</v>
      </c>
      <c r="D13" s="7" t="n">
        <f aca="false">Wokingham!O24</f>
        <v>0.904579527971456</v>
      </c>
    </row>
    <row r="14" customFormat="false" ht="15" hidden="false" customHeight="false" outlineLevel="0" collapsed="false">
      <c r="A14" s="6" t="s">
        <v>41</v>
      </c>
      <c r="B14" s="8" t="n">
        <f aca="false">'West Berkshire'!P24</f>
        <v>0.856331450374114</v>
      </c>
      <c r="C14" s="8" t="n">
        <f aca="false">Reading!P24</f>
        <v>0.534757179017696</v>
      </c>
      <c r="D14" s="8" t="n">
        <f aca="false">Wokingham!P24</f>
        <v>0.727250704225352</v>
      </c>
    </row>
    <row r="17" customFormat="false" ht="15" hidden="false" customHeight="false" outlineLevel="0" collapsed="false">
      <c r="A17" s="6" t="s">
        <v>42</v>
      </c>
    </row>
    <row r="18" customFormat="false" ht="15" hidden="false" customHeight="false" outlineLevel="0" collapsed="false">
      <c r="A18" s="3" t="s">
        <v>43</v>
      </c>
      <c r="B18" s="3" t="s">
        <v>32</v>
      </c>
      <c r="C18" s="3" t="s">
        <v>33</v>
      </c>
      <c r="D18" s="3" t="s">
        <v>34</v>
      </c>
    </row>
    <row r="19" customFormat="false" ht="15" hidden="false" customHeight="false" outlineLevel="0" collapsed="false">
      <c r="A19" s="6" t="s">
        <v>44</v>
      </c>
      <c r="B19" s="8" t="n">
        <f aca="false">'West Berkshire'!P8</f>
        <v>0.037101729349388</v>
      </c>
      <c r="C19" s="8" t="n">
        <f aca="false">Reading!P8</f>
        <v>0.177020255649369</v>
      </c>
      <c r="D19" s="8" t="n">
        <f aca="false">Wokingham!P8</f>
        <v>0.128839436619718</v>
      </c>
    </row>
    <row r="20" customFormat="false" ht="15" hidden="false" customHeight="false" outlineLevel="0" collapsed="false">
      <c r="A20" s="2" t="s">
        <v>45</v>
      </c>
      <c r="B20" s="7" t="n">
        <f aca="false">'West Berkshire'!P9</f>
        <v>0.00247138397502601</v>
      </c>
      <c r="C20" s="7" t="n">
        <f aca="false">Reading!P9</f>
        <v>0.00649741997325267</v>
      </c>
      <c r="D20" s="7" t="n">
        <f aca="false">Wokingham!P9</f>
        <v>0.00218591549295775</v>
      </c>
    </row>
    <row r="21" customFormat="false" ht="15" hidden="false" customHeight="false" outlineLevel="0" collapsed="false">
      <c r="A21" s="2" t="s">
        <v>46</v>
      </c>
      <c r="B21" s="7" t="n">
        <f aca="false">'West Berkshire'!P10</f>
        <v>0.00496134978445072</v>
      </c>
      <c r="C21" s="7" t="n">
        <f aca="false">Reading!P10</f>
        <v>0.0154629411730943</v>
      </c>
      <c r="D21" s="7" t="n">
        <f aca="false">Wokingham!P10</f>
        <v>0.0134760563380282</v>
      </c>
    </row>
    <row r="22" customFormat="false" ht="15" hidden="false" customHeight="false" outlineLevel="0" collapsed="false">
      <c r="A22" s="2" t="s">
        <v>47</v>
      </c>
      <c r="B22" s="7" t="n">
        <f aca="false">'West Berkshire'!P11</f>
        <v>0.0190959318170556</v>
      </c>
      <c r="C22" s="7" t="n">
        <f aca="false">Reading!P11</f>
        <v>0.0618575044626714</v>
      </c>
      <c r="D22" s="7" t="n">
        <f aca="false">Wokingham!P11</f>
        <v>0.0699267605633803</v>
      </c>
    </row>
    <row r="23" customFormat="false" ht="15" hidden="false" customHeight="false" outlineLevel="0" collapsed="false">
      <c r="A23" s="2" t="s">
        <v>48</v>
      </c>
      <c r="B23" s="7" t="n">
        <f aca="false">'West Berkshire'!P12</f>
        <v>0.00409419751251177</v>
      </c>
      <c r="C23" s="7" t="n">
        <f aca="false">Reading!P12</f>
        <v>0.0475195582672781</v>
      </c>
      <c r="D23" s="7" t="n">
        <f aca="false">Wokingham!P12</f>
        <v>0.0295267605633803</v>
      </c>
    </row>
    <row r="24" customFormat="false" ht="15" hidden="false" customHeight="false" outlineLevel="0" collapsed="false">
      <c r="A24" s="2" t="s">
        <v>49</v>
      </c>
      <c r="B24" s="7" t="n">
        <f aca="false">'West Berkshire'!P13</f>
        <v>0.00647886626034389</v>
      </c>
      <c r="C24" s="7" t="n">
        <f aca="false">Reading!P13</f>
        <v>0.0456828317730724</v>
      </c>
      <c r="D24" s="7" t="n">
        <f aca="false">Wokingham!P13</f>
        <v>0.0137239436619718</v>
      </c>
    </row>
    <row r="25" customFormat="false" ht="15" hidden="false" customHeight="false" outlineLevel="0" collapsed="false">
      <c r="A25" s="6" t="s">
        <v>50</v>
      </c>
      <c r="B25" s="8" t="n">
        <f aca="false">'West Berkshire'!P14</f>
        <v>0.0125922897775135</v>
      </c>
      <c r="C25" s="8" t="n">
        <f aca="false">Reading!P14</f>
        <v>0.0719308013293308</v>
      </c>
      <c r="D25" s="8" t="n">
        <f aca="false">Wokingham!P14</f>
        <v>0.0242535211267606</v>
      </c>
    </row>
    <row r="26" customFormat="false" ht="15" hidden="false" customHeight="false" outlineLevel="0" collapsed="false">
      <c r="A26" s="2" t="s">
        <v>51</v>
      </c>
      <c r="B26" s="7" t="n">
        <f aca="false">'West Berkshire'!P15</f>
        <v>0.00678236955552252</v>
      </c>
      <c r="C26" s="7" t="n">
        <f aca="false">Reading!P15</f>
        <v>0.043995339306521</v>
      </c>
      <c r="D26" s="7" t="n">
        <f aca="false">Wokingham!P15</f>
        <v>0.0164056338028169</v>
      </c>
    </row>
    <row r="27" customFormat="false" ht="15" hidden="false" customHeight="false" outlineLevel="0" collapsed="false">
      <c r="A27" s="2" t="s">
        <v>52</v>
      </c>
      <c r="B27" s="7" t="n">
        <f aca="false">'West Berkshire'!P16</f>
        <v>0.00388360338932659</v>
      </c>
      <c r="C27" s="7" t="n">
        <f aca="false">Reading!P16</f>
        <v>0.0189010635794356</v>
      </c>
      <c r="D27" s="7" t="n">
        <f aca="false">Wokingham!P16</f>
        <v>0.00486760563380282</v>
      </c>
    </row>
    <row r="28" customFormat="false" ht="15" hidden="false" customHeight="false" outlineLevel="0" collapsed="false">
      <c r="A28" s="2" t="s">
        <v>53</v>
      </c>
      <c r="B28" s="7" t="n">
        <f aca="false">'West Berkshire'!P17</f>
        <v>0.00192631683266439</v>
      </c>
      <c r="C28" s="7" t="n">
        <f aca="false">Reading!P17</f>
        <v>0.0090343984433743</v>
      </c>
      <c r="D28" s="7" t="n">
        <f aca="false">Wokingham!P17</f>
        <v>0.00298028169014085</v>
      </c>
    </row>
    <row r="29" customFormat="false" ht="15" hidden="false" customHeight="false" outlineLevel="0" collapsed="false">
      <c r="A29" s="6" t="s">
        <v>54</v>
      </c>
      <c r="B29" s="8" t="n">
        <f aca="false">'West Berkshire'!P18</f>
        <v>0.0238652693127199</v>
      </c>
      <c r="C29" s="8" t="n">
        <f aca="false">Reading!P18</f>
        <v>0.0513939032159933</v>
      </c>
      <c r="D29" s="8" t="n">
        <f aca="false">Wokingham!P18</f>
        <v>0.0313802816901408</v>
      </c>
    </row>
    <row r="30" customFormat="false" ht="15" hidden="false" customHeight="false" outlineLevel="0" collapsed="false">
      <c r="A30" s="2" t="s">
        <v>55</v>
      </c>
      <c r="B30" s="7" t="n">
        <f aca="false">'West Berkshire'!P19</f>
        <v>0.00789108567464447</v>
      </c>
      <c r="C30" s="7" t="n">
        <f aca="false">Reading!P19</f>
        <v>0.0121510937132296</v>
      </c>
      <c r="D30" s="7" t="n">
        <f aca="false">Wokingham!P19</f>
        <v>0.0124619718309859</v>
      </c>
    </row>
    <row r="31" customFormat="false" ht="15" hidden="false" customHeight="false" outlineLevel="0" collapsed="false">
      <c r="A31" s="2" t="s">
        <v>56</v>
      </c>
      <c r="B31" s="7" t="n">
        <f aca="false">'West Berkshire'!P20</f>
        <v>0.00310316634458154</v>
      </c>
      <c r="C31" s="7" t="n">
        <f aca="false">Reading!P20</f>
        <v>0.00716897309769663</v>
      </c>
      <c r="D31" s="7" t="n">
        <f aca="false">Wokingham!P20</f>
        <v>0.00375211267605634</v>
      </c>
    </row>
    <row r="32" customFormat="false" ht="15" hidden="false" customHeight="false" outlineLevel="0" collapsed="false">
      <c r="A32" s="2" t="s">
        <v>57</v>
      </c>
      <c r="B32" s="7" t="n">
        <f aca="false">'West Berkshire'!P21</f>
        <v>0.00653461176353996</v>
      </c>
      <c r="C32" s="7" t="n">
        <f aca="false">Reading!P21</f>
        <v>0.0204048833965665</v>
      </c>
      <c r="D32" s="7" t="n">
        <f aca="false">Wokingham!P21</f>
        <v>0.00734647887323944</v>
      </c>
    </row>
    <row r="33" customFormat="false" ht="15" hidden="false" customHeight="false" outlineLevel="0" collapsed="false">
      <c r="A33" s="2" t="s">
        <v>58</v>
      </c>
      <c r="B33" s="7" t="n">
        <f aca="false">'West Berkshire'!P22</f>
        <v>0.00633640552995392</v>
      </c>
      <c r="C33" s="7" t="n">
        <f aca="false">Reading!P22</f>
        <v>0.0116689530085006</v>
      </c>
      <c r="D33" s="7" t="n">
        <f aca="false">Wokingham!P22</f>
        <v>0.00781971830985916</v>
      </c>
    </row>
    <row r="34" customFormat="false" ht="15" hidden="false" customHeight="false" outlineLevel="0" collapsed="false">
      <c r="A34" s="6" t="s">
        <v>59</v>
      </c>
      <c r="B34" s="8" t="n">
        <f aca="false">'West Berkshire'!P23</f>
        <v>0.918846935236113</v>
      </c>
      <c r="C34" s="8" t="n">
        <f aca="false">Reading!P23</f>
        <v>0.67065198050774</v>
      </c>
      <c r="D34" s="8" t="n">
        <f aca="false">Wokingham!P23</f>
        <v>0.798907042253521</v>
      </c>
    </row>
    <row r="35" customFormat="false" ht="15" hidden="false" customHeight="false" outlineLevel="0" collapsed="false">
      <c r="A35" s="2" t="s">
        <v>60</v>
      </c>
      <c r="B35" s="7" t="n">
        <f aca="false">'West Berkshire'!P24</f>
        <v>0.856331450374114</v>
      </c>
      <c r="C35" s="7" t="n">
        <f aca="false">Reading!P24</f>
        <v>0.534757179017696</v>
      </c>
      <c r="D35" s="7" t="n">
        <f aca="false">Wokingham!P24</f>
        <v>0.727250704225352</v>
      </c>
    </row>
    <row r="36" customFormat="false" ht="15" hidden="false" customHeight="false" outlineLevel="0" collapsed="false">
      <c r="A36" s="2" t="s">
        <v>61</v>
      </c>
      <c r="B36" s="7" t="n">
        <f aca="false">'West Berkshire'!P25</f>
        <v>0.00869010455378822</v>
      </c>
      <c r="C36" s="7" t="n">
        <f aca="false">Reading!P25</f>
        <v>0.011703391630267</v>
      </c>
      <c r="D36" s="7" t="n">
        <f aca="false">Wokingham!P25</f>
        <v>0.00847323943661972</v>
      </c>
    </row>
    <row r="37" customFormat="false" ht="15" hidden="false" customHeight="false" outlineLevel="0" collapsed="false">
      <c r="A37" s="2" t="s">
        <v>62</v>
      </c>
      <c r="B37" s="7" t="n">
        <f aca="false">'West Berkshire'!P26</f>
        <v>0.00117065556711759</v>
      </c>
      <c r="C37" s="7" t="n">
        <f aca="false">Reading!P26</f>
        <v>0.000619895191794424</v>
      </c>
      <c r="D37" s="7" t="n">
        <f aca="false">Wokingham!P26</f>
        <v>0.00185352112676056</v>
      </c>
    </row>
    <row r="38" customFormat="false" ht="15" hidden="false" customHeight="false" outlineLevel="0" collapsed="false">
      <c r="A38" s="2" t="s">
        <v>63</v>
      </c>
      <c r="B38" s="7" t="n">
        <f aca="false">'West Berkshire'!P27</f>
        <v>0.000984837223130668</v>
      </c>
      <c r="C38" s="7" t="n">
        <f aca="false">Reading!P27</f>
        <v>0.00328888837868709</v>
      </c>
      <c r="D38" s="7" t="n">
        <f aca="false">Wokingham!P27</f>
        <v>0.00102535211267606</v>
      </c>
    </row>
    <row r="39" customFormat="false" ht="15" hidden="false" customHeight="false" outlineLevel="0" collapsed="false">
      <c r="A39" s="2" t="s">
        <v>64</v>
      </c>
      <c r="B39" s="7" t="n">
        <f aca="false">'West Berkshire'!P28</f>
        <v>0.0516698875179624</v>
      </c>
      <c r="C39" s="7" t="n">
        <f aca="false">Reading!P28</f>
        <v>0.120282626289296</v>
      </c>
      <c r="D39" s="7" t="n">
        <f aca="false">Wokingham!P28</f>
        <v>0.0603042253521127</v>
      </c>
    </row>
    <row r="40" customFormat="false" ht="15" hidden="false" customHeight="false" outlineLevel="0" collapsed="false">
      <c r="A40" s="6" t="s">
        <v>65</v>
      </c>
      <c r="B40" s="8" t="n">
        <f aca="false">'West Berkshire'!P29</f>
        <v>0.00723452752589069</v>
      </c>
      <c r="C40" s="8" t="n">
        <f aca="false">Reading!P29</f>
        <v>0.0284061231869501</v>
      </c>
      <c r="D40" s="8" t="n">
        <f aca="false">Wokingham!P29</f>
        <v>0.0160788732394366</v>
      </c>
    </row>
    <row r="41" customFormat="false" ht="15" hidden="false" customHeight="false" outlineLevel="0" collapsed="false">
      <c r="A41" s="2" t="s">
        <v>66</v>
      </c>
      <c r="B41" s="7" t="n">
        <f aca="false">'West Berkshire'!P30</f>
        <v>0.00172811059907834</v>
      </c>
      <c r="C41" s="7" t="n">
        <f aca="false">Reading!P30</f>
        <v>0.00735838551741159</v>
      </c>
      <c r="D41" s="7" t="n">
        <f aca="false">Wokingham!P30</f>
        <v>0.00534084507042254</v>
      </c>
    </row>
    <row r="42" customFormat="false" ht="15" hidden="false" customHeight="false" outlineLevel="0" collapsed="false">
      <c r="A42" s="2" t="s">
        <v>67</v>
      </c>
      <c r="B42" s="7" t="n">
        <f aca="false">'West Berkshire'!P31</f>
        <v>0.00550641692681235</v>
      </c>
      <c r="C42" s="7" t="n">
        <f aca="false">Reading!P31</f>
        <v>0.0210477376695385</v>
      </c>
      <c r="D42" s="7" t="n">
        <f aca="false">Wokingham!P31</f>
        <v>0.0107380281690141</v>
      </c>
    </row>
    <row r="43" customFormat="false" ht="15" hidden="false" customHeight="false" outlineLevel="0" collapsed="false">
      <c r="A43" s="6" t="s">
        <v>68</v>
      </c>
      <c r="B43" s="8" t="n">
        <f aca="false">'West Berkshire'!P32</f>
        <v>0.000359248798374709</v>
      </c>
      <c r="C43" s="8" t="n">
        <f aca="false">Reading!P32</f>
        <v>0.000596936110616853</v>
      </c>
      <c r="D43" s="8" t="n">
        <f aca="false">Wokingham!P32</f>
        <v>0.000540845070422535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8" min="2" style="0" width="11"/>
    <col collapsed="false" customWidth="true" hidden="false" outlineLevel="0" max="9" min="9" style="0" width="3"/>
    <col collapsed="false" customWidth="true" hidden="false" outlineLevel="0" max="16" min="10" style="0" width="11"/>
  </cols>
  <sheetData>
    <row r="1" customFormat="false" ht="15" hidden="false" customHeight="false" outlineLevel="0" collapsed="false">
      <c r="A1" s="1" t="s">
        <v>0</v>
      </c>
    </row>
    <row r="2" customFormat="false" ht="15" hidden="false" customHeight="false" outlineLevel="0" collapsed="false">
      <c r="A2" s="1" t="s">
        <v>69</v>
      </c>
    </row>
    <row r="3" customFormat="false" ht="15" hidden="false" customHeight="false" outlineLevel="0" collapsed="false">
      <c r="A3" s="2" t="s">
        <v>2</v>
      </c>
    </row>
    <row r="4" customFormat="false" ht="15" hidden="false" customHeight="false" outlineLevel="0" collapsed="false">
      <c r="A4" s="2" t="s">
        <v>70</v>
      </c>
    </row>
    <row r="6" customFormat="false" ht="15" hidden="false" customHeight="false" outlineLevel="0" collapsed="false">
      <c r="B6" s="6" t="s">
        <v>71</v>
      </c>
      <c r="J6" s="6" t="s">
        <v>72</v>
      </c>
    </row>
    <row r="7" customFormat="false" ht="15" hidden="false" customHeight="false" outlineLevel="0" collapsed="false">
      <c r="A7" s="3" t="s">
        <v>43</v>
      </c>
      <c r="B7" s="3" t="s">
        <v>35</v>
      </c>
      <c r="C7" s="3" t="s">
        <v>36</v>
      </c>
      <c r="D7" s="3" t="s">
        <v>37</v>
      </c>
      <c r="E7" s="3" t="s">
        <v>38</v>
      </c>
      <c r="F7" s="3" t="s">
        <v>39</v>
      </c>
      <c r="G7" s="3" t="s">
        <v>40</v>
      </c>
      <c r="H7" s="3" t="s">
        <v>41</v>
      </c>
      <c r="J7" s="3" t="s">
        <v>35</v>
      </c>
      <c r="K7" s="3" t="s">
        <v>36</v>
      </c>
      <c r="L7" s="3" t="s">
        <v>37</v>
      </c>
      <c r="M7" s="3" t="s">
        <v>38</v>
      </c>
      <c r="N7" s="3" t="s">
        <v>39</v>
      </c>
      <c r="O7" s="3" t="s">
        <v>40</v>
      </c>
      <c r="P7" s="3" t="s">
        <v>41</v>
      </c>
    </row>
    <row r="8" customFormat="false" ht="15" hidden="false" customHeight="false" outlineLevel="0" collapsed="false">
      <c r="A8" s="6" t="s">
        <v>44</v>
      </c>
      <c r="B8" s="9" t="n">
        <f aca="false">SUM(B9:B13)</f>
        <v>1433</v>
      </c>
      <c r="C8" s="9" t="n">
        <f aca="false">SUM(C9:C13)</f>
        <v>458</v>
      </c>
      <c r="D8" s="9" t="n">
        <f aca="false">SUM(D9:D13)</f>
        <v>890</v>
      </c>
      <c r="E8" s="9" t="n">
        <f aca="false">SUM(E9:E13)</f>
        <v>1990</v>
      </c>
      <c r="F8" s="9" t="n">
        <f aca="false">SUM(F9:F13)</f>
        <v>851</v>
      </c>
      <c r="G8" s="9" t="n">
        <f aca="false">SUM(G9:G13)</f>
        <v>368</v>
      </c>
      <c r="H8" s="9" t="n">
        <f aca="false">SUM(B8:G8)</f>
        <v>5990</v>
      </c>
      <c r="J8" s="8" t="n">
        <f aca="false">IF(B$33=0,0,B8/B$33)</f>
        <v>0.046662324975578</v>
      </c>
      <c r="K8" s="8" t="n">
        <f aca="false">IF(C$33=0,0,C8/C$33)</f>
        <v>0.0317174515235457</v>
      </c>
      <c r="L8" s="8" t="n">
        <f aca="false">IF(D$33=0,0,D8/D$33)</f>
        <v>0.048586090184518</v>
      </c>
      <c r="M8" s="8" t="n">
        <f aca="false">IF(E$33=0,0,E8/E$33)</f>
        <v>0.0618935058472257</v>
      </c>
      <c r="N8" s="8" t="n">
        <f aca="false">IF(F$33=0,0,F8/F$33)</f>
        <v>0.0247960372960373</v>
      </c>
      <c r="O8" s="8" t="n">
        <f aca="false">IF(G$33=0,0,G8/G$33)</f>
        <v>0.0116795734416656</v>
      </c>
      <c r="P8" s="8" t="n">
        <f aca="false">IF(H$33=0,0,H8/H$33)</f>
        <v>0.037101729349388</v>
      </c>
    </row>
    <row r="9" customFormat="false" ht="15" hidden="false" customHeight="false" outlineLevel="0" collapsed="false">
      <c r="A9" s="2" t="s">
        <v>45</v>
      </c>
      <c r="B9" s="10" t="n">
        <v>124</v>
      </c>
      <c r="C9" s="10" t="n">
        <v>46</v>
      </c>
      <c r="D9" s="10" t="n">
        <v>69</v>
      </c>
      <c r="E9" s="10" t="n">
        <v>117</v>
      </c>
      <c r="F9" s="10" t="n">
        <v>28</v>
      </c>
      <c r="G9" s="10" t="n">
        <v>15</v>
      </c>
      <c r="H9" s="11" t="n">
        <f aca="false">SUM(B9:G9)</f>
        <v>399</v>
      </c>
      <c r="J9" s="7" t="n">
        <f aca="false">IF(B$33=0,0,B9/B$33)</f>
        <v>0.00403777271247151</v>
      </c>
      <c r="K9" s="7" t="n">
        <f aca="false">IF(C$33=0,0,C9/C$33)</f>
        <v>0.00318559556786704</v>
      </c>
      <c r="L9" s="7" t="n">
        <f aca="false">IF(D$33=0,0,D9/D$33)</f>
        <v>0.00376678676711431</v>
      </c>
      <c r="M9" s="7" t="n">
        <f aca="false">IF(E$33=0,0,E9/E$33)</f>
        <v>0.00363896491664593</v>
      </c>
      <c r="N9" s="7" t="n">
        <f aca="false">IF(F$33=0,0,F9/F$33)</f>
        <v>0.000815850815850816</v>
      </c>
      <c r="O9" s="7" t="n">
        <f aca="false">IF(G$33=0,0,G9/G$33)</f>
        <v>0.000476069569633109</v>
      </c>
      <c r="P9" s="7" t="n">
        <f aca="false">IF(H$33=0,0,H9/H$33)</f>
        <v>0.00247138397502601</v>
      </c>
    </row>
    <row r="10" customFormat="false" ht="15" hidden="false" customHeight="false" outlineLevel="0" collapsed="false">
      <c r="A10" s="2" t="s">
        <v>46</v>
      </c>
      <c r="B10" s="10" t="n">
        <v>151</v>
      </c>
      <c r="C10" s="10" t="n">
        <v>90</v>
      </c>
      <c r="D10" s="10" t="n">
        <v>93</v>
      </c>
      <c r="E10" s="10" t="n">
        <v>224</v>
      </c>
      <c r="F10" s="10" t="n">
        <v>169</v>
      </c>
      <c r="G10" s="10" t="n">
        <v>74</v>
      </c>
      <c r="H10" s="11" t="n">
        <f aca="false">SUM(B10:G10)</f>
        <v>801</v>
      </c>
      <c r="J10" s="7" t="n">
        <f aca="false">IF(B$33=0,0,B10/B$33)</f>
        <v>0.00491696515792901</v>
      </c>
      <c r="K10" s="7" t="n">
        <f aca="false">IF(C$33=0,0,C10/C$33)</f>
        <v>0.00623268698060942</v>
      </c>
      <c r="L10" s="7" t="n">
        <f aca="false">IF(D$33=0,0,D10/D$33)</f>
        <v>0.00507697346871929</v>
      </c>
      <c r="M10" s="7" t="n">
        <f aca="false">IF(E$33=0,0,E10/E$33)</f>
        <v>0.00696690719084349</v>
      </c>
      <c r="N10" s="7" t="n">
        <f aca="false">IF(F$33=0,0,F10/F$33)</f>
        <v>0.00492424242424242</v>
      </c>
      <c r="O10" s="7" t="n">
        <f aca="false">IF(G$33=0,0,G10/G$33)</f>
        <v>0.00234860987685667</v>
      </c>
      <c r="P10" s="7" t="n">
        <f aca="false">IF(H$33=0,0,H10/H$33)</f>
        <v>0.00496134978445072</v>
      </c>
    </row>
    <row r="11" customFormat="false" ht="15" hidden="false" customHeight="false" outlineLevel="0" collapsed="false">
      <c r="A11" s="2" t="s">
        <v>47</v>
      </c>
      <c r="B11" s="10" t="n">
        <v>809</v>
      </c>
      <c r="C11" s="10" t="n">
        <v>153</v>
      </c>
      <c r="D11" s="10" t="n">
        <v>501</v>
      </c>
      <c r="E11" s="10" t="n">
        <v>1116</v>
      </c>
      <c r="F11" s="10" t="n">
        <v>338</v>
      </c>
      <c r="G11" s="10" t="n">
        <v>166</v>
      </c>
      <c r="H11" s="11" t="n">
        <f aca="false">SUM(B11:G11)</f>
        <v>3083</v>
      </c>
      <c r="J11" s="7" t="n">
        <f aca="false">IF(B$33=0,0,B11/B$33)</f>
        <v>0.0263432106805601</v>
      </c>
      <c r="K11" s="7" t="n">
        <f aca="false">IF(C$33=0,0,C11/C$33)</f>
        <v>0.010595567867036</v>
      </c>
      <c r="L11" s="7" t="n">
        <f aca="false">IF(D$33=0,0,D11/D$33)</f>
        <v>0.0273501473960039</v>
      </c>
      <c r="M11" s="7" t="n">
        <f aca="false">IF(E$33=0,0,E11/E$33)</f>
        <v>0.0347101268972381</v>
      </c>
      <c r="N11" s="7" t="n">
        <f aca="false">IF(F$33=0,0,F11/F$33)</f>
        <v>0.00984848484848485</v>
      </c>
      <c r="O11" s="7" t="n">
        <f aca="false">IF(G$33=0,0,G11/G$33)</f>
        <v>0.00526850323727307</v>
      </c>
      <c r="P11" s="7" t="n">
        <f aca="false">IF(H$33=0,0,H11/H$33)</f>
        <v>0.0190959318170556</v>
      </c>
    </row>
    <row r="12" customFormat="false" ht="15" hidden="false" customHeight="false" outlineLevel="0" collapsed="false">
      <c r="A12" s="2" t="s">
        <v>48</v>
      </c>
      <c r="B12" s="10" t="n">
        <v>189</v>
      </c>
      <c r="C12" s="10" t="n">
        <v>68</v>
      </c>
      <c r="D12" s="10" t="n">
        <v>101</v>
      </c>
      <c r="E12" s="10" t="n">
        <v>181</v>
      </c>
      <c r="F12" s="10" t="n">
        <v>96</v>
      </c>
      <c r="G12" s="10" t="n">
        <v>26</v>
      </c>
      <c r="H12" s="11" t="n">
        <f aca="false">SUM(B12:G12)</f>
        <v>661</v>
      </c>
      <c r="J12" s="7" t="n">
        <f aca="false">IF(B$33=0,0,B12/B$33)</f>
        <v>0.00615434711820254</v>
      </c>
      <c r="K12" s="7" t="n">
        <f aca="false">IF(C$33=0,0,C12/C$33)</f>
        <v>0.00470914127423823</v>
      </c>
      <c r="L12" s="7" t="n">
        <f aca="false">IF(D$33=0,0,D12/D$33)</f>
        <v>0.00551370236925429</v>
      </c>
      <c r="M12" s="7" t="n">
        <f aca="false">IF(E$33=0,0,E12/E$33)</f>
        <v>0.0056295098283155</v>
      </c>
      <c r="N12" s="7" t="n">
        <f aca="false">IF(F$33=0,0,F12/F$33)</f>
        <v>0.0027972027972028</v>
      </c>
      <c r="O12" s="7" t="n">
        <f aca="false">IF(G$33=0,0,G12/G$33)</f>
        <v>0.000825187254030722</v>
      </c>
      <c r="P12" s="7" t="n">
        <f aca="false">IF(H$33=0,0,H12/H$33)</f>
        <v>0.00409419751251177</v>
      </c>
    </row>
    <row r="13" customFormat="false" ht="15" hidden="false" customHeight="false" outlineLevel="0" collapsed="false">
      <c r="A13" s="2" t="s">
        <v>49</v>
      </c>
      <c r="B13" s="10" t="n">
        <v>160</v>
      </c>
      <c r="C13" s="10" t="n">
        <v>101</v>
      </c>
      <c r="D13" s="10" t="n">
        <v>126</v>
      </c>
      <c r="E13" s="10" t="n">
        <v>352</v>
      </c>
      <c r="F13" s="10" t="n">
        <v>220</v>
      </c>
      <c r="G13" s="10" t="n">
        <v>87</v>
      </c>
      <c r="H13" s="11" t="n">
        <f aca="false">SUM(B13:G13)</f>
        <v>1046</v>
      </c>
      <c r="J13" s="7" t="n">
        <f aca="false">IF(B$33=0,0,B13/B$33)</f>
        <v>0.00521002930641485</v>
      </c>
      <c r="K13" s="7" t="n">
        <f aca="false">IF(C$33=0,0,C13/C$33)</f>
        <v>0.00699445983379501</v>
      </c>
      <c r="L13" s="7" t="n">
        <f aca="false">IF(D$33=0,0,D13/D$33)</f>
        <v>0.00687848018342614</v>
      </c>
      <c r="M13" s="7" t="n">
        <f aca="false">IF(E$33=0,0,E13/E$33)</f>
        <v>0.0109479970141826</v>
      </c>
      <c r="N13" s="7" t="n">
        <f aca="false">IF(F$33=0,0,F13/F$33)</f>
        <v>0.00641025641025641</v>
      </c>
      <c r="O13" s="7" t="n">
        <f aca="false">IF(G$33=0,0,G13/G$33)</f>
        <v>0.00276120350387203</v>
      </c>
      <c r="P13" s="7" t="n">
        <f aca="false">IF(H$33=0,0,H13/H$33)</f>
        <v>0.00647886626034389</v>
      </c>
    </row>
    <row r="14" customFormat="false" ht="15" hidden="false" customHeight="false" outlineLevel="0" collapsed="false">
      <c r="A14" s="6" t="s">
        <v>50</v>
      </c>
      <c r="B14" s="9" t="n">
        <f aca="false">SUM(B15:B17)</f>
        <v>433</v>
      </c>
      <c r="C14" s="9" t="n">
        <f aca="false">SUM(C15:C17)</f>
        <v>196</v>
      </c>
      <c r="D14" s="9" t="n">
        <f aca="false">SUM(D15:D17)</f>
        <v>236</v>
      </c>
      <c r="E14" s="9" t="n">
        <f aca="false">SUM(E15:E17)</f>
        <v>537</v>
      </c>
      <c r="F14" s="9" t="n">
        <f aca="false">SUM(F15:F17)</f>
        <v>484</v>
      </c>
      <c r="G14" s="9" t="n">
        <f aca="false">SUM(G15:G17)</f>
        <v>147</v>
      </c>
      <c r="H14" s="9" t="n">
        <f aca="false">SUM(B14:G14)</f>
        <v>2033</v>
      </c>
      <c r="J14" s="8" t="n">
        <f aca="false">IF(B$33=0,0,B14/B$33)</f>
        <v>0.0140996418104852</v>
      </c>
      <c r="K14" s="8" t="n">
        <f aca="false">IF(C$33=0,0,C14/C$33)</f>
        <v>0.0135734072022161</v>
      </c>
      <c r="L14" s="8" t="n">
        <f aca="false">IF(D$33=0,0,D14/D$33)</f>
        <v>0.0128835025657823</v>
      </c>
      <c r="M14" s="8" t="n">
        <f aca="false">IF(E$33=0,0,E14/E$33)</f>
        <v>0.0167019158994775</v>
      </c>
      <c r="N14" s="8" t="n">
        <f aca="false">IF(F$33=0,0,F14/F$33)</f>
        <v>0.0141025641025641</v>
      </c>
      <c r="O14" s="8" t="n">
        <f aca="false">IF(G$33=0,0,G14/G$33)</f>
        <v>0.00466548178240447</v>
      </c>
      <c r="P14" s="8" t="n">
        <f aca="false">IF(H$33=0,0,H14/H$33)</f>
        <v>0.0125922897775135</v>
      </c>
    </row>
    <row r="15" customFormat="false" ht="15" hidden="false" customHeight="false" outlineLevel="0" collapsed="false">
      <c r="A15" s="2" t="s">
        <v>51</v>
      </c>
      <c r="B15" s="10" t="n">
        <v>262</v>
      </c>
      <c r="C15" s="10" t="n">
        <v>122</v>
      </c>
      <c r="D15" s="10" t="n">
        <v>139</v>
      </c>
      <c r="E15" s="10" t="n">
        <v>356</v>
      </c>
      <c r="F15" s="10" t="n">
        <v>180</v>
      </c>
      <c r="G15" s="10" t="n">
        <v>36</v>
      </c>
      <c r="H15" s="11" t="n">
        <f aca="false">SUM(B15:G15)</f>
        <v>1095</v>
      </c>
      <c r="J15" s="7" t="n">
        <f aca="false">IF(B$33=0,0,B15/B$33)</f>
        <v>0.00853142298925431</v>
      </c>
      <c r="K15" s="7" t="n">
        <f aca="false">IF(C$33=0,0,C15/C$33)</f>
        <v>0.00844875346260388</v>
      </c>
      <c r="L15" s="7" t="n">
        <f aca="false">IF(D$33=0,0,D15/D$33)</f>
        <v>0.0075881646467955</v>
      </c>
      <c r="M15" s="7" t="n">
        <f aca="false">IF(E$33=0,0,E15/E$33)</f>
        <v>0.011072406071162</v>
      </c>
      <c r="N15" s="7" t="n">
        <f aca="false">IF(F$33=0,0,F15/F$33)</f>
        <v>0.00524475524475525</v>
      </c>
      <c r="O15" s="7" t="n">
        <f aca="false">IF(G$33=0,0,G15/G$33)</f>
        <v>0.00114256696711946</v>
      </c>
      <c r="P15" s="7" t="n">
        <f aca="false">IF(H$33=0,0,H15/H$33)</f>
        <v>0.00678236955552252</v>
      </c>
    </row>
    <row r="16" customFormat="false" ht="15" hidden="false" customHeight="false" outlineLevel="0" collapsed="false">
      <c r="A16" s="2" t="s">
        <v>52</v>
      </c>
      <c r="B16" s="10" t="n">
        <v>57</v>
      </c>
      <c r="C16" s="10" t="n">
        <v>43</v>
      </c>
      <c r="D16" s="10" t="n">
        <v>71</v>
      </c>
      <c r="E16" s="10" t="n">
        <v>126</v>
      </c>
      <c r="F16" s="10" t="n">
        <v>241</v>
      </c>
      <c r="G16" s="10" t="n">
        <v>89</v>
      </c>
      <c r="H16" s="11" t="n">
        <f aca="false">SUM(B16:G16)</f>
        <v>627</v>
      </c>
      <c r="J16" s="7" t="n">
        <f aca="false">IF(B$33=0,0,B16/B$33)</f>
        <v>0.00185607294041029</v>
      </c>
      <c r="K16" s="7" t="n">
        <f aca="false">IF(C$33=0,0,C16/C$33)</f>
        <v>0.00297783933518006</v>
      </c>
      <c r="L16" s="7" t="n">
        <f aca="false">IF(D$33=0,0,D16/D$33)</f>
        <v>0.00387596899224806</v>
      </c>
      <c r="M16" s="7" t="n">
        <f aca="false">IF(E$33=0,0,E16/E$33)</f>
        <v>0.00391888529484947</v>
      </c>
      <c r="N16" s="7" t="n">
        <f aca="false">IF(F$33=0,0,F16/F$33)</f>
        <v>0.00702214452214452</v>
      </c>
      <c r="O16" s="7" t="n">
        <f aca="false">IF(G$33=0,0,G16/G$33)</f>
        <v>0.00282467944648978</v>
      </c>
      <c r="P16" s="7" t="n">
        <f aca="false">IF(H$33=0,0,H16/H$33)</f>
        <v>0.00388360338932659</v>
      </c>
    </row>
    <row r="17" customFormat="false" ht="15" hidden="false" customHeight="false" outlineLevel="0" collapsed="false">
      <c r="A17" s="2" t="s">
        <v>53</v>
      </c>
      <c r="B17" s="10" t="n">
        <v>114</v>
      </c>
      <c r="C17" s="10" t="n">
        <v>31</v>
      </c>
      <c r="D17" s="10" t="n">
        <v>26</v>
      </c>
      <c r="E17" s="10" t="n">
        <v>55</v>
      </c>
      <c r="F17" s="10" t="n">
        <v>63</v>
      </c>
      <c r="G17" s="10" t="n">
        <v>22</v>
      </c>
      <c r="H17" s="11" t="n">
        <f aca="false">SUM(B17:G17)</f>
        <v>311</v>
      </c>
      <c r="J17" s="7" t="n">
        <f aca="false">IF(B$33=0,0,B17/B$33)</f>
        <v>0.00371214588082058</v>
      </c>
      <c r="K17" s="7" t="n">
        <f aca="false">IF(C$33=0,0,C17/C$33)</f>
        <v>0.00214681440443213</v>
      </c>
      <c r="L17" s="7" t="n">
        <f aca="false">IF(D$33=0,0,D17/D$33)</f>
        <v>0.00141936892673873</v>
      </c>
      <c r="M17" s="7" t="n">
        <f aca="false">IF(E$33=0,0,E17/E$33)</f>
        <v>0.00171062453346604</v>
      </c>
      <c r="N17" s="7" t="n">
        <f aca="false">IF(F$33=0,0,F17/F$33)</f>
        <v>0.00183566433566434</v>
      </c>
      <c r="O17" s="7" t="n">
        <f aca="false">IF(G$33=0,0,G17/G$33)</f>
        <v>0.000698235368795227</v>
      </c>
      <c r="P17" s="7" t="n">
        <f aca="false">IF(H$33=0,0,H17/H$33)</f>
        <v>0.00192631683266439</v>
      </c>
    </row>
    <row r="18" customFormat="false" ht="15" hidden="false" customHeight="false" outlineLevel="0" collapsed="false">
      <c r="A18" s="6" t="s">
        <v>54</v>
      </c>
      <c r="B18" s="9" t="n">
        <f aca="false">SUM(B19:B22)</f>
        <v>1798</v>
      </c>
      <c r="C18" s="9" t="n">
        <f aca="false">SUM(C19:C22)</f>
        <v>593</v>
      </c>
      <c r="D18" s="9" t="n">
        <f aca="false">SUM(D19:D22)</f>
        <v>470</v>
      </c>
      <c r="E18" s="9" t="n">
        <f aca="false">SUM(E19:E22)</f>
        <v>578</v>
      </c>
      <c r="F18" s="9" t="n">
        <f aca="false">SUM(F19:F22)</f>
        <v>313</v>
      </c>
      <c r="G18" s="9" t="n">
        <f aca="false">SUM(G19:G22)</f>
        <v>101</v>
      </c>
      <c r="H18" s="9" t="n">
        <f aca="false">SUM(B18:G18)</f>
        <v>3853</v>
      </c>
      <c r="J18" s="8" t="n">
        <f aca="false">IF(B$33=0,0,B18/B$33)</f>
        <v>0.0585477043308369</v>
      </c>
      <c r="K18" s="8" t="n">
        <f aca="false">IF(C$33=0,0,C18/C$33)</f>
        <v>0.0410664819944598</v>
      </c>
      <c r="L18" s="8" t="n">
        <f aca="false">IF(D$33=0,0,D18/D$33)</f>
        <v>0.0256578229064308</v>
      </c>
      <c r="M18" s="8" t="n">
        <f aca="false">IF(E$33=0,0,E18/E$33)</f>
        <v>0.0179771087335158</v>
      </c>
      <c r="N18" s="8" t="n">
        <f aca="false">IF(F$33=0,0,F18/F$33)</f>
        <v>0.00912004662004662</v>
      </c>
      <c r="O18" s="8" t="n">
        <f aca="false">IF(G$33=0,0,G18/G$33)</f>
        <v>0.00320553510219627</v>
      </c>
      <c r="P18" s="8" t="n">
        <f aca="false">IF(H$33=0,0,H18/H$33)</f>
        <v>0.0238652693127199</v>
      </c>
    </row>
    <row r="19" customFormat="false" ht="15" hidden="false" customHeight="false" outlineLevel="0" collapsed="false">
      <c r="A19" s="2" t="s">
        <v>55</v>
      </c>
      <c r="B19" s="10" t="n">
        <v>683</v>
      </c>
      <c r="C19" s="10" t="n">
        <v>185</v>
      </c>
      <c r="D19" s="10" t="n">
        <v>129</v>
      </c>
      <c r="E19" s="10" t="n">
        <v>149</v>
      </c>
      <c r="F19" s="10" t="n">
        <v>96</v>
      </c>
      <c r="G19" s="10" t="n">
        <v>32</v>
      </c>
      <c r="H19" s="11" t="n">
        <f aca="false">SUM(B19:G19)</f>
        <v>1274</v>
      </c>
      <c r="J19" s="7" t="n">
        <f aca="false">IF(B$33=0,0,B19/B$33)</f>
        <v>0.0222403126017584</v>
      </c>
      <c r="K19" s="7" t="n">
        <f aca="false">IF(C$33=0,0,C19/C$33)</f>
        <v>0.0128116343490305</v>
      </c>
      <c r="L19" s="7" t="n">
        <f aca="false">IF(D$33=0,0,D19/D$33)</f>
        <v>0.00704225352112676</v>
      </c>
      <c r="M19" s="7" t="n">
        <f aca="false">IF(E$33=0,0,E19/E$33)</f>
        <v>0.00463423737248072</v>
      </c>
      <c r="N19" s="7" t="n">
        <f aca="false">IF(F$33=0,0,F19/F$33)</f>
        <v>0.0027972027972028</v>
      </c>
      <c r="O19" s="7" t="n">
        <f aca="false">IF(G$33=0,0,G19/G$33)</f>
        <v>0.00101561508188397</v>
      </c>
      <c r="P19" s="7" t="n">
        <f aca="false">IF(H$33=0,0,H19/H$33)</f>
        <v>0.00789108567464447</v>
      </c>
    </row>
    <row r="20" customFormat="false" ht="15" hidden="false" customHeight="false" outlineLevel="0" collapsed="false">
      <c r="A20" s="2" t="s">
        <v>56</v>
      </c>
      <c r="B20" s="10" t="n">
        <v>248</v>
      </c>
      <c r="C20" s="10" t="n">
        <v>70</v>
      </c>
      <c r="D20" s="10" t="n">
        <v>52</v>
      </c>
      <c r="E20" s="10" t="n">
        <v>80</v>
      </c>
      <c r="F20" s="10" t="n">
        <v>39</v>
      </c>
      <c r="G20" s="10" t="n">
        <v>12</v>
      </c>
      <c r="H20" s="11" t="n">
        <f aca="false">SUM(B20:G20)</f>
        <v>501</v>
      </c>
      <c r="J20" s="7" t="n">
        <f aca="false">IF(B$33=0,0,B20/B$33)</f>
        <v>0.00807554542494302</v>
      </c>
      <c r="K20" s="7" t="n">
        <f aca="false">IF(C$33=0,0,C20/C$33)</f>
        <v>0.00484764542936288</v>
      </c>
      <c r="L20" s="7" t="n">
        <f aca="false">IF(D$33=0,0,D20/D$33)</f>
        <v>0.00283873785347745</v>
      </c>
      <c r="M20" s="7" t="n">
        <f aca="false">IF(E$33=0,0,E20/E$33)</f>
        <v>0.00248818113958696</v>
      </c>
      <c r="N20" s="7" t="n">
        <f aca="false">IF(F$33=0,0,F20/F$33)</f>
        <v>0.00113636363636364</v>
      </c>
      <c r="O20" s="7" t="n">
        <f aca="false">IF(G$33=0,0,G20/G$33)</f>
        <v>0.000380855655706487</v>
      </c>
      <c r="P20" s="7" t="n">
        <f aca="false">IF(H$33=0,0,H20/H$33)</f>
        <v>0.00310316634458154</v>
      </c>
    </row>
    <row r="21" customFormat="false" ht="15" hidden="false" customHeight="false" outlineLevel="0" collapsed="false">
      <c r="A21" s="2" t="s">
        <v>57</v>
      </c>
      <c r="B21" s="10" t="n">
        <v>465</v>
      </c>
      <c r="C21" s="10" t="n">
        <v>202</v>
      </c>
      <c r="D21" s="10" t="n">
        <v>165</v>
      </c>
      <c r="E21" s="10" t="n">
        <v>136</v>
      </c>
      <c r="F21" s="10" t="n">
        <v>64</v>
      </c>
      <c r="G21" s="10" t="n">
        <v>23</v>
      </c>
      <c r="H21" s="11" t="n">
        <f aca="false">SUM(B21:G21)</f>
        <v>1055</v>
      </c>
      <c r="J21" s="7" t="n">
        <f aca="false">IF(B$33=0,0,B21/B$33)</f>
        <v>0.0151416476717682</v>
      </c>
      <c r="K21" s="7" t="n">
        <f aca="false">IF(C$33=0,0,C21/C$33)</f>
        <v>0.01398891966759</v>
      </c>
      <c r="L21" s="7" t="n">
        <f aca="false">IF(D$33=0,0,D21/D$33)</f>
        <v>0.00900753357353423</v>
      </c>
      <c r="M21" s="7" t="n">
        <f aca="false">IF(E$33=0,0,E21/E$33)</f>
        <v>0.00422990793729784</v>
      </c>
      <c r="N21" s="7" t="n">
        <f aca="false">IF(F$33=0,0,F21/F$33)</f>
        <v>0.00186480186480186</v>
      </c>
      <c r="O21" s="7" t="n">
        <f aca="false">IF(G$33=0,0,G21/G$33)</f>
        <v>0.000729973340104101</v>
      </c>
      <c r="P21" s="7" t="n">
        <f aca="false">IF(H$33=0,0,H21/H$33)</f>
        <v>0.00653461176353996</v>
      </c>
    </row>
    <row r="22" customFormat="false" ht="15" hidden="false" customHeight="false" outlineLevel="0" collapsed="false">
      <c r="A22" s="2" t="s">
        <v>58</v>
      </c>
      <c r="B22" s="11" t="n">
        <f aca="false">'Jewish adjustment'!C22</f>
        <v>402</v>
      </c>
      <c r="C22" s="11" t="n">
        <f aca="false">'Jewish adjustment'!D22</f>
        <v>136</v>
      </c>
      <c r="D22" s="11" t="n">
        <f aca="false">'Jewish adjustment'!E22</f>
        <v>124</v>
      </c>
      <c r="E22" s="11" t="n">
        <f aca="false">'Jewish adjustment'!F22</f>
        <v>213</v>
      </c>
      <c r="F22" s="11" t="n">
        <f aca="false">'Jewish adjustment'!G22</f>
        <v>114</v>
      </c>
      <c r="G22" s="11" t="n">
        <f aca="false">'Jewish adjustment'!H22</f>
        <v>34</v>
      </c>
      <c r="H22" s="11" t="n">
        <f aca="false">SUM(B22:G22)</f>
        <v>1023</v>
      </c>
      <c r="J22" s="7" t="n">
        <f aca="false">IF(B$33=0,0,B22/B$33)</f>
        <v>0.0130901986323673</v>
      </c>
      <c r="K22" s="7" t="n">
        <f aca="false">IF(C$33=0,0,C22/C$33)</f>
        <v>0.00941828254847645</v>
      </c>
      <c r="L22" s="7" t="n">
        <f aca="false">IF(D$33=0,0,D22/D$33)</f>
        <v>0.00676929795829239</v>
      </c>
      <c r="M22" s="7" t="n">
        <f aca="false">IF(E$33=0,0,E22/E$33)</f>
        <v>0.00662478228415029</v>
      </c>
      <c r="N22" s="7" t="n">
        <f aca="false">IF(F$33=0,0,F22/F$33)</f>
        <v>0.00332167832167832</v>
      </c>
      <c r="O22" s="7" t="n">
        <f aca="false">IF(G$33=0,0,G22/G$33)</f>
        <v>0.00107909102450171</v>
      </c>
      <c r="P22" s="7" t="n">
        <f aca="false">IF(H$33=0,0,H22/H$33)</f>
        <v>0.00633640552995392</v>
      </c>
    </row>
    <row r="23" customFormat="false" ht="15" hidden="false" customHeight="false" outlineLevel="0" collapsed="false">
      <c r="A23" s="6" t="s">
        <v>59</v>
      </c>
      <c r="B23" s="9" t="n">
        <f aca="false">SUM(B24:B28)</f>
        <v>26776</v>
      </c>
      <c r="C23" s="9" t="n">
        <f aca="false">SUM(C24:C28)</f>
        <v>13093</v>
      </c>
      <c r="D23" s="9" t="n">
        <f aca="false">SUM(D24:D28)</f>
        <v>16536</v>
      </c>
      <c r="E23" s="9" t="n">
        <f aca="false">SUM(E24:E28)</f>
        <v>28671</v>
      </c>
      <c r="F23" s="9" t="n">
        <f aca="false">SUM(F24:F28)</f>
        <v>32487</v>
      </c>
      <c r="G23" s="9" t="n">
        <f aca="false">SUM(G24:G28)</f>
        <v>30783</v>
      </c>
      <c r="H23" s="9" t="n">
        <f aca="false">SUM(B23:G23)</f>
        <v>148346</v>
      </c>
      <c r="J23" s="8" t="n">
        <f aca="false">IF(B$33=0,0,B23/B$33)</f>
        <v>0.871898404428525</v>
      </c>
      <c r="K23" s="8" t="n">
        <f aca="false">IF(C$33=0,0,C23/C$33)</f>
        <v>0.906717451523546</v>
      </c>
      <c r="L23" s="8" t="n">
        <f aca="false">IF(D$33=0,0,D23/D$33)</f>
        <v>0.90271863740583</v>
      </c>
      <c r="M23" s="8" t="n">
        <f aca="false">IF(E$33=0,0,E23/E$33)</f>
        <v>0.891733018163722</v>
      </c>
      <c r="N23" s="8" t="n">
        <f aca="false">IF(F$33=0,0,F23/F$33)</f>
        <v>0.946590909090909</v>
      </c>
      <c r="O23" s="8" t="n">
        <f aca="false">IF(G$33=0,0,G23/G$33)</f>
        <v>0.976989970801066</v>
      </c>
      <c r="P23" s="8" t="n">
        <f aca="false">IF(H$33=0,0,H23/H$33)</f>
        <v>0.918846935236113</v>
      </c>
    </row>
    <row r="24" customFormat="false" ht="15" hidden="false" customHeight="false" outlineLevel="0" collapsed="false">
      <c r="A24" s="2" t="s">
        <v>60</v>
      </c>
      <c r="B24" s="10" t="n">
        <v>25360</v>
      </c>
      <c r="C24" s="10" t="n">
        <v>12447</v>
      </c>
      <c r="D24" s="10" t="n">
        <v>14760</v>
      </c>
      <c r="E24" s="10" t="n">
        <v>25188</v>
      </c>
      <c r="F24" s="10" t="n">
        <v>30717</v>
      </c>
      <c r="G24" s="10" t="n">
        <v>29781</v>
      </c>
      <c r="H24" s="11" t="n">
        <f aca="false">SUM(B24:G24)</f>
        <v>138253</v>
      </c>
      <c r="J24" s="7" t="n">
        <f aca="false">IF(B$33=0,0,B24/B$33)</f>
        <v>0.825789645066754</v>
      </c>
      <c r="K24" s="7" t="n">
        <f aca="false">IF(C$33=0,0,C24/C$33)</f>
        <v>0.861980609418283</v>
      </c>
      <c r="L24" s="7" t="n">
        <f aca="false">IF(D$33=0,0,D24/D$33)</f>
        <v>0.805764821487062</v>
      </c>
      <c r="M24" s="7" t="n">
        <f aca="false">IF(E$33=0,0,E24/E$33)</f>
        <v>0.783403831798955</v>
      </c>
      <c r="N24" s="7" t="n">
        <f aca="false">IF(F$33=0,0,F24/F$33)</f>
        <v>0.895017482517483</v>
      </c>
      <c r="O24" s="7" t="n">
        <f aca="false">IF(G$33=0,0,G24/G$33)</f>
        <v>0.945188523549575</v>
      </c>
      <c r="P24" s="7" t="n">
        <f aca="false">IF(H$33=0,0,H24/H$33)</f>
        <v>0.856331450374114</v>
      </c>
    </row>
    <row r="25" customFormat="false" ht="15" hidden="false" customHeight="false" outlineLevel="0" collapsed="false">
      <c r="A25" s="2" t="s">
        <v>61</v>
      </c>
      <c r="B25" s="10" t="n">
        <v>79</v>
      </c>
      <c r="C25" s="10" t="n">
        <v>64</v>
      </c>
      <c r="D25" s="10" t="n">
        <v>136</v>
      </c>
      <c r="E25" s="10" t="n">
        <v>298</v>
      </c>
      <c r="F25" s="10" t="n">
        <v>420</v>
      </c>
      <c r="G25" s="10" t="n">
        <v>406</v>
      </c>
      <c r="H25" s="11" t="n">
        <f aca="false">SUM(B25:G25)</f>
        <v>1403</v>
      </c>
      <c r="J25" s="7" t="n">
        <f aca="false">IF(B$33=0,0,B25/B$33)</f>
        <v>0.00257245197004233</v>
      </c>
      <c r="K25" s="7" t="n">
        <f aca="false">IF(C$33=0,0,C25/C$33)</f>
        <v>0.00443213296398892</v>
      </c>
      <c r="L25" s="7" t="n">
        <f aca="false">IF(D$33=0,0,D25/D$33)</f>
        <v>0.00742439130909488</v>
      </c>
      <c r="M25" s="7" t="n">
        <f aca="false">IF(E$33=0,0,E25/E$33)</f>
        <v>0.00926847474496143</v>
      </c>
      <c r="N25" s="7" t="n">
        <f aca="false">IF(F$33=0,0,F25/F$33)</f>
        <v>0.0122377622377622</v>
      </c>
      <c r="O25" s="7" t="n">
        <f aca="false">IF(G$33=0,0,G25/G$33)</f>
        <v>0.0128856163514028</v>
      </c>
      <c r="P25" s="7" t="n">
        <f aca="false">IF(H$33=0,0,H25/H$33)</f>
        <v>0.00869010455378822</v>
      </c>
    </row>
    <row r="26" customFormat="false" ht="15" hidden="false" customHeight="false" outlineLevel="0" collapsed="false">
      <c r="A26" s="2" t="s">
        <v>62</v>
      </c>
      <c r="B26" s="10" t="n">
        <v>71</v>
      </c>
      <c r="C26" s="10" t="n">
        <v>17</v>
      </c>
      <c r="D26" s="10" t="n">
        <v>34</v>
      </c>
      <c r="E26" s="10" t="n">
        <v>39</v>
      </c>
      <c r="F26" s="10" t="n">
        <v>20</v>
      </c>
      <c r="G26" s="10" t="n">
        <v>8</v>
      </c>
      <c r="H26" s="11" t="n">
        <f aca="false">SUM(B26:G26)</f>
        <v>189</v>
      </c>
      <c r="J26" s="7" t="n">
        <f aca="false">IF(B$33=0,0,B26/B$33)</f>
        <v>0.00231195050472159</v>
      </c>
      <c r="K26" s="7" t="n">
        <f aca="false">IF(C$33=0,0,C26/C$33)</f>
        <v>0.00117728531855956</v>
      </c>
      <c r="L26" s="7" t="n">
        <f aca="false">IF(D$33=0,0,D26/D$33)</f>
        <v>0.00185609782727372</v>
      </c>
      <c r="M26" s="7" t="n">
        <f aca="false">IF(E$33=0,0,E26/E$33)</f>
        <v>0.00121298830554864</v>
      </c>
      <c r="N26" s="7" t="n">
        <f aca="false">IF(F$33=0,0,F26/F$33)</f>
        <v>0.000582750582750583</v>
      </c>
      <c r="O26" s="7" t="n">
        <f aca="false">IF(G$33=0,0,G26/G$33)</f>
        <v>0.000253903770470992</v>
      </c>
      <c r="P26" s="7" t="n">
        <f aca="false">IF(H$33=0,0,H26/H$33)</f>
        <v>0.00117065556711759</v>
      </c>
    </row>
    <row r="27" customFormat="false" ht="15" hidden="false" customHeight="false" outlineLevel="0" collapsed="false">
      <c r="A27" s="2" t="s">
        <v>63</v>
      </c>
      <c r="B27" s="10" t="n">
        <v>32</v>
      </c>
      <c r="C27" s="10" t="n">
        <v>15</v>
      </c>
      <c r="D27" s="10" t="n">
        <v>38</v>
      </c>
      <c r="E27" s="10" t="n">
        <v>52</v>
      </c>
      <c r="F27" s="10" t="n">
        <v>19</v>
      </c>
      <c r="G27" s="10" t="n">
        <v>3</v>
      </c>
      <c r="H27" s="11" t="n">
        <f aca="false">SUM(B27:G27)</f>
        <v>159</v>
      </c>
      <c r="J27" s="7" t="n">
        <f aca="false">IF(B$33=0,0,B27/B$33)</f>
        <v>0.00104200586128297</v>
      </c>
      <c r="K27" s="7" t="n">
        <f aca="false">IF(C$33=0,0,C27/C$33)</f>
        <v>0.0010387811634349</v>
      </c>
      <c r="L27" s="7" t="n">
        <f aca="false">IF(D$33=0,0,D27/D$33)</f>
        <v>0.00207446227754122</v>
      </c>
      <c r="M27" s="7" t="n">
        <f aca="false">IF(E$33=0,0,E27/E$33)</f>
        <v>0.00161731774073153</v>
      </c>
      <c r="N27" s="7" t="n">
        <f aca="false">IF(F$33=0,0,F27/F$33)</f>
        <v>0.000553613053613054</v>
      </c>
      <c r="O27" s="7" t="n">
        <f aca="false">IF(G$33=0,0,G27/G$33)</f>
        <v>9.52139139266218E-005</v>
      </c>
      <c r="P27" s="7" t="n">
        <f aca="false">IF(H$33=0,0,H27/H$33)</f>
        <v>0.000984837223130668</v>
      </c>
    </row>
    <row r="28" customFormat="false" ht="15" hidden="false" customHeight="false" outlineLevel="0" collapsed="false">
      <c r="A28" s="2" t="s">
        <v>64</v>
      </c>
      <c r="B28" s="11" t="n">
        <f aca="false">'Jewish adjustment'!C16</f>
        <v>1234</v>
      </c>
      <c r="C28" s="11" t="n">
        <f aca="false">'Jewish adjustment'!D16</f>
        <v>550</v>
      </c>
      <c r="D28" s="11" t="n">
        <f aca="false">'Jewish adjustment'!E16</f>
        <v>1568</v>
      </c>
      <c r="E28" s="11" t="n">
        <f aca="false">'Jewish adjustment'!F16</f>
        <v>3094</v>
      </c>
      <c r="F28" s="11" t="n">
        <f aca="false">'Jewish adjustment'!G16</f>
        <v>1311</v>
      </c>
      <c r="G28" s="11" t="n">
        <f aca="false">'Jewish adjustment'!H16</f>
        <v>585</v>
      </c>
      <c r="H28" s="11" t="n">
        <f aca="false">SUM(B28:G28)</f>
        <v>8342</v>
      </c>
      <c r="J28" s="7" t="n">
        <f aca="false">IF(B$33=0,0,B28/B$33)</f>
        <v>0.0401823510257245</v>
      </c>
      <c r="K28" s="7" t="n">
        <f aca="false">IF(C$33=0,0,C28/C$33)</f>
        <v>0.0380886426592798</v>
      </c>
      <c r="L28" s="7" t="n">
        <f aca="false">IF(D$33=0,0,D28/D$33)</f>
        <v>0.0855988645048586</v>
      </c>
      <c r="M28" s="7" t="n">
        <f aca="false">IF(E$33=0,0,E28/E$33)</f>
        <v>0.0962304055735258</v>
      </c>
      <c r="N28" s="7" t="n">
        <f aca="false">IF(F$33=0,0,F28/F$33)</f>
        <v>0.0381993006993007</v>
      </c>
      <c r="O28" s="7" t="n">
        <f aca="false">IF(G$33=0,0,G28/G$33)</f>
        <v>0.0185667132156913</v>
      </c>
      <c r="P28" s="7" t="n">
        <f aca="false">IF(H$33=0,0,H28/H$33)</f>
        <v>0.0516698875179624</v>
      </c>
    </row>
    <row r="29" customFormat="false" ht="15" hidden="false" customHeight="false" outlineLevel="0" collapsed="false">
      <c r="A29" s="6" t="s">
        <v>65</v>
      </c>
      <c r="B29" s="9" t="n">
        <f aca="false">SUM(B30:B31)</f>
        <v>264</v>
      </c>
      <c r="C29" s="9" t="n">
        <f aca="false">SUM(C30:C31)</f>
        <v>94</v>
      </c>
      <c r="D29" s="9" t="n">
        <f aca="false">SUM(D30:D31)</f>
        <v>180</v>
      </c>
      <c r="E29" s="9" t="n">
        <f aca="false">SUM(E30:E31)</f>
        <v>363</v>
      </c>
      <c r="F29" s="9" t="n">
        <f aca="false">SUM(F30:F31)</f>
        <v>171</v>
      </c>
      <c r="G29" s="9" t="n">
        <f aca="false">SUM(G30:G31)</f>
        <v>96</v>
      </c>
      <c r="H29" s="9" t="n">
        <f aca="false">SUM(B29:G29)</f>
        <v>1168</v>
      </c>
      <c r="J29" s="8" t="n">
        <f aca="false">IF(B$33=0,0,B29/B$33)</f>
        <v>0.0085965483555845</v>
      </c>
      <c r="K29" s="8" t="n">
        <f aca="false">IF(C$33=0,0,C29/C$33)</f>
        <v>0.00650969529085873</v>
      </c>
      <c r="L29" s="8" t="n">
        <f aca="false">IF(D$33=0,0,D29/D$33)</f>
        <v>0.00982640026203734</v>
      </c>
      <c r="M29" s="8" t="n">
        <f aca="false">IF(E$33=0,0,E29/E$33)</f>
        <v>0.0112901219208758</v>
      </c>
      <c r="N29" s="8" t="n">
        <f aca="false">IF(F$33=0,0,F29/F$33)</f>
        <v>0.00498251748251748</v>
      </c>
      <c r="O29" s="8" t="n">
        <f aca="false">IF(G$33=0,0,G29/G$33)</f>
        <v>0.0030468452456519</v>
      </c>
      <c r="P29" s="8" t="n">
        <f aca="false">IF(H$33=0,0,H29/H$33)</f>
        <v>0.00723452752589069</v>
      </c>
    </row>
    <row r="30" customFormat="false" ht="15" hidden="false" customHeight="false" outlineLevel="0" collapsed="false">
      <c r="A30" s="2" t="s">
        <v>66</v>
      </c>
      <c r="B30" s="10" t="n">
        <v>88</v>
      </c>
      <c r="C30" s="10" t="n">
        <v>26</v>
      </c>
      <c r="D30" s="10" t="n">
        <v>32</v>
      </c>
      <c r="E30" s="10" t="n">
        <v>86</v>
      </c>
      <c r="F30" s="10" t="n">
        <v>34</v>
      </c>
      <c r="G30" s="10" t="n">
        <v>13</v>
      </c>
      <c r="H30" s="11" t="n">
        <f aca="false">SUM(B30:G30)</f>
        <v>279</v>
      </c>
      <c r="J30" s="7" t="n">
        <f aca="false">IF(B$33=0,0,B30/B$33)</f>
        <v>0.00286551611852817</v>
      </c>
      <c r="K30" s="7" t="n">
        <f aca="false">IF(C$33=0,0,C30/C$33)</f>
        <v>0.0018005540166205</v>
      </c>
      <c r="L30" s="7" t="n">
        <f aca="false">IF(D$33=0,0,D30/D$33)</f>
        <v>0.00174691560213997</v>
      </c>
      <c r="M30" s="7" t="n">
        <f aca="false">IF(E$33=0,0,E30/E$33)</f>
        <v>0.00267479472505598</v>
      </c>
      <c r="N30" s="7" t="n">
        <f aca="false">IF(F$33=0,0,F30/F$33)</f>
        <v>0.000990675990675991</v>
      </c>
      <c r="O30" s="7" t="n">
        <f aca="false">IF(G$33=0,0,G30/G$33)</f>
        <v>0.000412593627015361</v>
      </c>
      <c r="P30" s="7" t="n">
        <f aca="false">IF(H$33=0,0,H30/H$33)</f>
        <v>0.00172811059907834</v>
      </c>
    </row>
    <row r="31" customFormat="false" ht="15" hidden="false" customHeight="false" outlineLevel="0" collapsed="false">
      <c r="A31" s="2" t="s">
        <v>67</v>
      </c>
      <c r="B31" s="11" t="n">
        <f aca="false">'Jewish adjustment'!C19</f>
        <v>176</v>
      </c>
      <c r="C31" s="11" t="n">
        <f aca="false">'Jewish adjustment'!D19</f>
        <v>68</v>
      </c>
      <c r="D31" s="11" t="n">
        <f aca="false">'Jewish adjustment'!E19</f>
        <v>148</v>
      </c>
      <c r="E31" s="11" t="n">
        <f aca="false">'Jewish adjustment'!F19</f>
        <v>277</v>
      </c>
      <c r="F31" s="11" t="n">
        <f aca="false">'Jewish adjustment'!G19</f>
        <v>137</v>
      </c>
      <c r="G31" s="11" t="n">
        <f aca="false">'Jewish adjustment'!H19</f>
        <v>83</v>
      </c>
      <c r="H31" s="11" t="n">
        <f aca="false">SUM(B31:G31)</f>
        <v>889</v>
      </c>
      <c r="J31" s="7" t="n">
        <f aca="false">IF(B$33=0,0,B31/B$33)</f>
        <v>0.00573103223705633</v>
      </c>
      <c r="K31" s="7" t="n">
        <f aca="false">IF(C$33=0,0,C31/C$33)</f>
        <v>0.00470914127423823</v>
      </c>
      <c r="L31" s="7" t="n">
        <f aca="false">IF(D$33=0,0,D31/D$33)</f>
        <v>0.00807948465989737</v>
      </c>
      <c r="M31" s="7" t="n">
        <f aca="false">IF(E$33=0,0,E31/E$33)</f>
        <v>0.00861532719581986</v>
      </c>
      <c r="N31" s="7" t="n">
        <f aca="false">IF(F$33=0,0,F31/F$33)</f>
        <v>0.00399184149184149</v>
      </c>
      <c r="O31" s="7" t="n">
        <f aca="false">IF(G$33=0,0,G31/G$33)</f>
        <v>0.00263425161863654</v>
      </c>
      <c r="P31" s="7" t="n">
        <f aca="false">IF(H$33=0,0,H31/H$33)</f>
        <v>0.00550641692681235</v>
      </c>
    </row>
    <row r="32" customFormat="false" ht="15" hidden="false" customHeight="false" outlineLevel="0" collapsed="false">
      <c r="A32" s="6" t="s">
        <v>73</v>
      </c>
      <c r="B32" s="9" t="n">
        <f aca="false">'Jewish adjustment'!C23</f>
        <v>6</v>
      </c>
      <c r="C32" s="9" t="n">
        <f aca="false">'Jewish adjustment'!D23</f>
        <v>6</v>
      </c>
      <c r="D32" s="9" t="n">
        <f aca="false">'Jewish adjustment'!E23</f>
        <v>6</v>
      </c>
      <c r="E32" s="9" t="n">
        <f aca="false">'Jewish adjustment'!F23</f>
        <v>13</v>
      </c>
      <c r="F32" s="9" t="n">
        <f aca="false">'Jewish adjustment'!G23</f>
        <v>14</v>
      </c>
      <c r="G32" s="9" t="n">
        <f aca="false">'Jewish adjustment'!H23</f>
        <v>13</v>
      </c>
      <c r="H32" s="9" t="n">
        <f aca="false">SUM(B32:G32)</f>
        <v>58</v>
      </c>
      <c r="J32" s="8" t="n">
        <f aca="false">IF(B$33=0,0,B32/B$33)</f>
        <v>0.000195376098990557</v>
      </c>
      <c r="K32" s="8" t="n">
        <f aca="false">IF(C$33=0,0,C32/C$33)</f>
        <v>0.000415512465373961</v>
      </c>
      <c r="L32" s="8" t="n">
        <f aca="false">IF(D$33=0,0,D32/D$33)</f>
        <v>0.000327546675401245</v>
      </c>
      <c r="M32" s="8" t="n">
        <f aca="false">IF(E$33=0,0,E32/E$33)</f>
        <v>0.000404329435182881</v>
      </c>
      <c r="N32" s="8" t="n">
        <f aca="false">IF(F$33=0,0,F32/F$33)</f>
        <v>0.000407925407925408</v>
      </c>
      <c r="O32" s="8" t="n">
        <f aca="false">IF(G$33=0,0,G32/G$33)</f>
        <v>0.000412593627015361</v>
      </c>
      <c r="P32" s="8" t="n">
        <f aca="false">IF(H$33=0,0,H32/H$33)</f>
        <v>0.000359248798374709</v>
      </c>
    </row>
    <row r="33" customFormat="false" ht="15" hidden="false" customHeight="false" outlineLevel="0" collapsed="false">
      <c r="A33" s="12" t="s">
        <v>74</v>
      </c>
      <c r="B33" s="13" t="n">
        <f aca="false">B8+B14+B18+B23+B29+B32</f>
        <v>30710</v>
      </c>
      <c r="C33" s="13" t="n">
        <f aca="false">C8+C14+C18+C23+C29+C32</f>
        <v>14440</v>
      </c>
      <c r="D33" s="13" t="n">
        <f aca="false">D8+D14+D18+D23+D29+D32</f>
        <v>18318</v>
      </c>
      <c r="E33" s="13" t="n">
        <f aca="false">E8+E14+E18+E23+E29+E32</f>
        <v>32152</v>
      </c>
      <c r="F33" s="13" t="n">
        <f aca="false">F8+F14+F18+F23+F29+F32</f>
        <v>34320</v>
      </c>
      <c r="G33" s="13" t="n">
        <f aca="false">G8+G14+G18+G23+G29+G32</f>
        <v>31508</v>
      </c>
      <c r="H33" s="13" t="n">
        <f aca="false">SUM(B33:G33)</f>
        <v>161448</v>
      </c>
      <c r="J33" s="14" t="n">
        <f aca="false">IF(B$33=0,0,B33/B$33)</f>
        <v>1</v>
      </c>
      <c r="K33" s="14" t="n">
        <f aca="false">IF(C$33=0,0,C33/C$33)</f>
        <v>1</v>
      </c>
      <c r="L33" s="14" t="n">
        <f aca="false">IF(D$33=0,0,D33/D$33)</f>
        <v>1</v>
      </c>
      <c r="M33" s="14" t="n">
        <f aca="false">IF(E$33=0,0,E33/E$33)</f>
        <v>1</v>
      </c>
      <c r="N33" s="14" t="n">
        <f aca="false">IF(F$33=0,0,F33/F$33)</f>
        <v>1</v>
      </c>
      <c r="O33" s="14" t="n">
        <f aca="false">IF(G$33=0,0,G33/G$33)</f>
        <v>1</v>
      </c>
      <c r="P33" s="14" t="n">
        <f aca="false">IF(H$33=0,0,H33/H$33)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8" min="2" style="0" width="11"/>
    <col collapsed="false" customWidth="true" hidden="false" outlineLevel="0" max="9" min="9" style="0" width="3"/>
    <col collapsed="false" customWidth="true" hidden="false" outlineLevel="0" max="16" min="10" style="0" width="11"/>
  </cols>
  <sheetData>
    <row r="1" customFormat="false" ht="15" hidden="false" customHeight="false" outlineLevel="0" collapsed="false">
      <c r="A1" s="1" t="s">
        <v>0</v>
      </c>
    </row>
    <row r="2" customFormat="false" ht="15" hidden="false" customHeight="false" outlineLevel="0" collapsed="false">
      <c r="A2" s="1" t="s">
        <v>75</v>
      </c>
    </row>
    <row r="3" customFormat="false" ht="15" hidden="false" customHeight="false" outlineLevel="0" collapsed="false">
      <c r="A3" s="2" t="s">
        <v>2</v>
      </c>
    </row>
    <row r="4" customFormat="false" ht="15" hidden="false" customHeight="false" outlineLevel="0" collapsed="false">
      <c r="A4" s="2" t="s">
        <v>70</v>
      </c>
    </row>
    <row r="6" customFormat="false" ht="15" hidden="false" customHeight="false" outlineLevel="0" collapsed="false">
      <c r="B6" s="6" t="s">
        <v>71</v>
      </c>
      <c r="J6" s="6" t="s">
        <v>72</v>
      </c>
    </row>
    <row r="7" customFormat="false" ht="15" hidden="false" customHeight="false" outlineLevel="0" collapsed="false">
      <c r="A7" s="3" t="s">
        <v>43</v>
      </c>
      <c r="B7" s="3" t="s">
        <v>35</v>
      </c>
      <c r="C7" s="3" t="s">
        <v>36</v>
      </c>
      <c r="D7" s="3" t="s">
        <v>37</v>
      </c>
      <c r="E7" s="3" t="s">
        <v>38</v>
      </c>
      <c r="F7" s="3" t="s">
        <v>39</v>
      </c>
      <c r="G7" s="3" t="s">
        <v>40</v>
      </c>
      <c r="H7" s="3" t="s">
        <v>41</v>
      </c>
      <c r="J7" s="3" t="s">
        <v>35</v>
      </c>
      <c r="K7" s="3" t="s">
        <v>36</v>
      </c>
      <c r="L7" s="3" t="s">
        <v>37</v>
      </c>
      <c r="M7" s="3" t="s">
        <v>38</v>
      </c>
      <c r="N7" s="3" t="s">
        <v>39</v>
      </c>
      <c r="O7" s="3" t="s">
        <v>40</v>
      </c>
      <c r="P7" s="3" t="s">
        <v>41</v>
      </c>
    </row>
    <row r="8" customFormat="false" ht="15" hidden="false" customHeight="false" outlineLevel="0" collapsed="false">
      <c r="A8" s="6" t="s">
        <v>44</v>
      </c>
      <c r="B8" s="9" t="n">
        <f aca="false">SUM(B9:B13)</f>
        <v>7297</v>
      </c>
      <c r="C8" s="9" t="n">
        <f aca="false">SUM(C9:C13)</f>
        <v>3710</v>
      </c>
      <c r="D8" s="9" t="n">
        <f aca="false">SUM(D9:D13)</f>
        <v>6016</v>
      </c>
      <c r="E8" s="9" t="n">
        <f aca="false">SUM(E9:E13)</f>
        <v>8685</v>
      </c>
      <c r="F8" s="9" t="n">
        <f aca="false">SUM(F9:F13)</f>
        <v>3323</v>
      </c>
      <c r="G8" s="9" t="n">
        <f aca="false">SUM(G9:G13)</f>
        <v>1810</v>
      </c>
      <c r="H8" s="9" t="n">
        <f aca="false">SUM(B8:G8)</f>
        <v>30841</v>
      </c>
      <c r="J8" s="8" t="n">
        <f aca="false">IF(B$33=0,0,B8/B$33)</f>
        <v>0.222043027112558</v>
      </c>
      <c r="K8" s="8" t="n">
        <f aca="false">IF(C$33=0,0,C8/C$33)</f>
        <v>0.155987218298015</v>
      </c>
      <c r="L8" s="8" t="n">
        <f aca="false">IF(D$33=0,0,D8/D$33)</f>
        <v>0.19912617502979</v>
      </c>
      <c r="M8" s="8" t="n">
        <f aca="false">IF(E$33=0,0,E8/E$33)</f>
        <v>0.224285308473001</v>
      </c>
      <c r="N8" s="8" t="n">
        <f aca="false">IF(F$33=0,0,F8/F$33)</f>
        <v>0.12012001156738</v>
      </c>
      <c r="O8" s="8" t="n">
        <f aca="false">IF(G$33=0,0,G8/G$33)</f>
        <v>0.0862849787862897</v>
      </c>
      <c r="P8" s="8" t="n">
        <f aca="false">IF(H$33=0,0,H8/H$33)</f>
        <v>0.177020255649369</v>
      </c>
    </row>
    <row r="9" customFormat="false" ht="15" hidden="false" customHeight="false" outlineLevel="0" collapsed="false">
      <c r="A9" s="2" t="s">
        <v>45</v>
      </c>
      <c r="B9" s="10" t="n">
        <v>315</v>
      </c>
      <c r="C9" s="10" t="n">
        <v>225</v>
      </c>
      <c r="D9" s="10" t="n">
        <v>170</v>
      </c>
      <c r="E9" s="10" t="n">
        <v>272</v>
      </c>
      <c r="F9" s="10" t="n">
        <v>125</v>
      </c>
      <c r="G9" s="10" t="n">
        <v>25</v>
      </c>
      <c r="H9" s="11" t="n">
        <f aca="false">SUM(B9:G9)</f>
        <v>1132</v>
      </c>
      <c r="J9" s="7" t="n">
        <f aca="false">IF(B$33=0,0,B9/B$33)</f>
        <v>0.00958524784712291</v>
      </c>
      <c r="K9" s="7" t="n">
        <f aca="false">IF(C$33=0,0,C9/C$33)</f>
        <v>0.00946014127144299</v>
      </c>
      <c r="L9" s="7" t="n">
        <f aca="false">IF(D$33=0,0,D9/D$33)</f>
        <v>0.00562690321726466</v>
      </c>
      <c r="M9" s="7" t="n">
        <f aca="false">IF(E$33=0,0,E9/E$33)</f>
        <v>0.00702424915424941</v>
      </c>
      <c r="N9" s="7" t="n">
        <f aca="false">IF(F$33=0,0,F9/F$33)</f>
        <v>0.00451850780798149</v>
      </c>
      <c r="O9" s="7" t="n">
        <f aca="false">IF(G$33=0,0,G9/G$33)</f>
        <v>0.00119178147494875</v>
      </c>
      <c r="P9" s="7" t="n">
        <f aca="false">IF(H$33=0,0,H9/H$33)</f>
        <v>0.00649741997325267</v>
      </c>
    </row>
    <row r="10" customFormat="false" ht="15" hidden="false" customHeight="false" outlineLevel="0" collapsed="false">
      <c r="A10" s="2" t="s">
        <v>46</v>
      </c>
      <c r="B10" s="10" t="n">
        <v>416</v>
      </c>
      <c r="C10" s="10" t="n">
        <v>569</v>
      </c>
      <c r="D10" s="10" t="n">
        <v>587</v>
      </c>
      <c r="E10" s="10" t="n">
        <v>674</v>
      </c>
      <c r="F10" s="10" t="n">
        <v>322</v>
      </c>
      <c r="G10" s="10" t="n">
        <v>126</v>
      </c>
      <c r="H10" s="11" t="n">
        <f aca="false">SUM(B10:G10)</f>
        <v>2694</v>
      </c>
      <c r="J10" s="7" t="n">
        <f aca="false">IF(B$33=0,0,B10/B$33)</f>
        <v>0.0126586130298512</v>
      </c>
      <c r="K10" s="7" t="n">
        <f aca="false">IF(C$33=0,0,C10/C$33)</f>
        <v>0.0239236461486714</v>
      </c>
      <c r="L10" s="7" t="n">
        <f aca="false">IF(D$33=0,0,D10/D$33)</f>
        <v>0.019429365814908</v>
      </c>
      <c r="M10" s="7" t="n">
        <f aca="false">IF(E$33=0,0,E10/E$33)</f>
        <v>0.0174056762131033</v>
      </c>
      <c r="N10" s="7" t="n">
        <f aca="false">IF(F$33=0,0,F10/F$33)</f>
        <v>0.0116396761133603</v>
      </c>
      <c r="O10" s="7" t="n">
        <f aca="false">IF(G$33=0,0,G10/G$33)</f>
        <v>0.00600657863374172</v>
      </c>
      <c r="P10" s="7" t="n">
        <f aca="false">IF(H$33=0,0,H10/H$33)</f>
        <v>0.0154629411730943</v>
      </c>
    </row>
    <row r="11" customFormat="false" ht="15" hidden="false" customHeight="false" outlineLevel="0" collapsed="false">
      <c r="A11" s="2" t="s">
        <v>47</v>
      </c>
      <c r="B11" s="10" t="n">
        <v>2701</v>
      </c>
      <c r="C11" s="10" t="n">
        <v>957</v>
      </c>
      <c r="D11" s="10" t="n">
        <v>2152</v>
      </c>
      <c r="E11" s="10" t="n">
        <v>3678</v>
      </c>
      <c r="F11" s="10" t="n">
        <v>880</v>
      </c>
      <c r="G11" s="10" t="n">
        <v>409</v>
      </c>
      <c r="H11" s="11" t="n">
        <f aca="false">SUM(B11:G11)</f>
        <v>10777</v>
      </c>
      <c r="J11" s="7" t="n">
        <f aca="false">IF(B$33=0,0,B11/B$33)</f>
        <v>0.0821896966192983</v>
      </c>
      <c r="K11" s="7" t="n">
        <f aca="false">IF(C$33=0,0,C11/C$33)</f>
        <v>0.0402371342078708</v>
      </c>
      <c r="L11" s="7" t="n">
        <f aca="false">IF(D$33=0,0,D11/D$33)</f>
        <v>0.0712299748444327</v>
      </c>
      <c r="M11" s="7" t="n">
        <f aca="false">IF(E$33=0,0,E11/E$33)</f>
        <v>0.0949823102548873</v>
      </c>
      <c r="N11" s="7" t="n">
        <f aca="false">IF(F$33=0,0,F11/F$33)</f>
        <v>0.0318102949681897</v>
      </c>
      <c r="O11" s="7" t="n">
        <f aca="false">IF(G$33=0,0,G11/G$33)</f>
        <v>0.0194975449301616</v>
      </c>
      <c r="P11" s="7" t="n">
        <f aca="false">IF(H$33=0,0,H11/H$33)</f>
        <v>0.0618575044626714</v>
      </c>
    </row>
    <row r="12" customFormat="false" ht="15" hidden="false" customHeight="false" outlineLevel="0" collapsed="false">
      <c r="A12" s="2" t="s">
        <v>48</v>
      </c>
      <c r="B12" s="10" t="n">
        <v>2482</v>
      </c>
      <c r="C12" s="10" t="n">
        <v>1089</v>
      </c>
      <c r="D12" s="10" t="n">
        <v>1351</v>
      </c>
      <c r="E12" s="10" t="n">
        <v>2100</v>
      </c>
      <c r="F12" s="10" t="n">
        <v>817</v>
      </c>
      <c r="G12" s="10" t="n">
        <v>440</v>
      </c>
      <c r="H12" s="11" t="n">
        <f aca="false">SUM(B12:G12)</f>
        <v>8279</v>
      </c>
      <c r="J12" s="7" t="n">
        <f aca="false">IF(B$33=0,0,B12/B$33)</f>
        <v>0.0755256671636795</v>
      </c>
      <c r="K12" s="7" t="n">
        <f aca="false">IF(C$33=0,0,C12/C$33)</f>
        <v>0.0457870837537841</v>
      </c>
      <c r="L12" s="7" t="n">
        <f aca="false">IF(D$33=0,0,D12/D$33)</f>
        <v>0.0447173308619092</v>
      </c>
      <c r="M12" s="7" t="n">
        <f aca="false">IF(E$33=0,0,E12/E$33)</f>
        <v>0.0542313353820727</v>
      </c>
      <c r="N12" s="7" t="n">
        <f aca="false">IF(F$33=0,0,F12/F$33)</f>
        <v>0.029532967032967</v>
      </c>
      <c r="O12" s="7" t="n">
        <f aca="false">IF(G$33=0,0,G12/G$33)</f>
        <v>0.0209753539590981</v>
      </c>
      <c r="P12" s="7" t="n">
        <f aca="false">IF(H$33=0,0,H12/H$33)</f>
        <v>0.0475195582672781</v>
      </c>
    </row>
    <row r="13" customFormat="false" ht="15" hidden="false" customHeight="false" outlineLevel="0" collapsed="false">
      <c r="A13" s="2" t="s">
        <v>49</v>
      </c>
      <c r="B13" s="10" t="n">
        <v>1383</v>
      </c>
      <c r="C13" s="10" t="n">
        <v>870</v>
      </c>
      <c r="D13" s="10" t="n">
        <v>1756</v>
      </c>
      <c r="E13" s="10" t="n">
        <v>1961</v>
      </c>
      <c r="F13" s="10" t="n">
        <v>1179</v>
      </c>
      <c r="G13" s="10" t="n">
        <v>810</v>
      </c>
      <c r="H13" s="11" t="n">
        <f aca="false">SUM(B13:G13)</f>
        <v>7959</v>
      </c>
      <c r="J13" s="7" t="n">
        <f aca="false">IF(B$33=0,0,B13/B$33)</f>
        <v>0.0420838024526063</v>
      </c>
      <c r="K13" s="7" t="n">
        <f aca="false">IF(C$33=0,0,C13/C$33)</f>
        <v>0.0365792129162462</v>
      </c>
      <c r="L13" s="7" t="n">
        <f aca="false">IF(D$33=0,0,D13/D$33)</f>
        <v>0.058122600291275</v>
      </c>
      <c r="M13" s="7" t="n">
        <f aca="false">IF(E$33=0,0,E13/E$33)</f>
        <v>0.0506417374686879</v>
      </c>
      <c r="N13" s="7" t="n">
        <f aca="false">IF(F$33=0,0,F13/F$33)</f>
        <v>0.0426185656448814</v>
      </c>
      <c r="O13" s="7" t="n">
        <f aca="false">IF(G$33=0,0,G13/G$33)</f>
        <v>0.0386137197883396</v>
      </c>
      <c r="P13" s="7" t="n">
        <f aca="false">IF(H$33=0,0,H13/H$33)</f>
        <v>0.0456828317730724</v>
      </c>
    </row>
    <row r="14" customFormat="false" ht="15" hidden="false" customHeight="false" outlineLevel="0" collapsed="false">
      <c r="A14" s="6" t="s">
        <v>50</v>
      </c>
      <c r="B14" s="9" t="n">
        <f aca="false">SUM(B15:B17)</f>
        <v>2741</v>
      </c>
      <c r="C14" s="9" t="n">
        <f aca="false">SUM(C15:C17)</f>
        <v>1740</v>
      </c>
      <c r="D14" s="9" t="n">
        <f aca="false">SUM(D15:D17)</f>
        <v>1793</v>
      </c>
      <c r="E14" s="9" t="n">
        <f aca="false">SUM(E15:E17)</f>
        <v>2974</v>
      </c>
      <c r="F14" s="9" t="n">
        <f aca="false">SUM(F15:F17)</f>
        <v>2450</v>
      </c>
      <c r="G14" s="9" t="n">
        <f aca="false">SUM(G15:G17)</f>
        <v>834</v>
      </c>
      <c r="H14" s="9" t="n">
        <f aca="false">SUM(B14:G14)</f>
        <v>12532</v>
      </c>
      <c r="J14" s="8" t="n">
        <f aca="false">IF(B$33=0,0,B14/B$33)</f>
        <v>0.0834068709490917</v>
      </c>
      <c r="K14" s="8" t="n">
        <f aca="false">IF(C$33=0,0,C14/C$33)</f>
        <v>0.0731584258324924</v>
      </c>
      <c r="L14" s="8" t="n">
        <f aca="false">IF(D$33=0,0,D14/D$33)</f>
        <v>0.0593472792267973</v>
      </c>
      <c r="M14" s="8" t="n">
        <f aca="false">IF(E$33=0,0,E14/E$33)</f>
        <v>0.0768019006791829</v>
      </c>
      <c r="N14" s="8" t="n">
        <f aca="false">IF(F$33=0,0,F14/F$33)</f>
        <v>0.0885627530364373</v>
      </c>
      <c r="O14" s="8" t="n">
        <f aca="false">IF(G$33=0,0,G14/G$33)</f>
        <v>0.0397578300042904</v>
      </c>
      <c r="P14" s="8" t="n">
        <f aca="false">IF(H$33=0,0,H14/H$33)</f>
        <v>0.0719308013293308</v>
      </c>
    </row>
    <row r="15" customFormat="false" ht="15" hidden="false" customHeight="false" outlineLevel="0" collapsed="false">
      <c r="A15" s="2" t="s">
        <v>51</v>
      </c>
      <c r="B15" s="10" t="n">
        <v>1776</v>
      </c>
      <c r="C15" s="10" t="n">
        <v>1187</v>
      </c>
      <c r="D15" s="10" t="n">
        <v>1218</v>
      </c>
      <c r="E15" s="10" t="n">
        <v>2141</v>
      </c>
      <c r="F15" s="10" t="n">
        <v>1171</v>
      </c>
      <c r="G15" s="10" t="n">
        <v>172</v>
      </c>
      <c r="H15" s="11" t="n">
        <f aca="false">SUM(B15:G15)</f>
        <v>7665</v>
      </c>
      <c r="J15" s="7" t="n">
        <f aca="false">IF(B$33=0,0,B15/B$33)</f>
        <v>0.0540425402428263</v>
      </c>
      <c r="K15" s="7" t="n">
        <f aca="false">IF(C$33=0,0,C15/C$33)</f>
        <v>0.0499075008409014</v>
      </c>
      <c r="L15" s="7" t="n">
        <f aca="false">IF(D$33=0,0,D15/D$33)</f>
        <v>0.0403151065801668</v>
      </c>
      <c r="M15" s="7" t="n">
        <f aca="false">IF(E$33=0,0,E15/E$33)</f>
        <v>0.0552901376442941</v>
      </c>
      <c r="N15" s="7" t="n">
        <f aca="false">IF(F$33=0,0,F15/F$33)</f>
        <v>0.0423293811451706</v>
      </c>
      <c r="O15" s="7" t="n">
        <f aca="false">IF(G$33=0,0,G15/G$33)</f>
        <v>0.00819945654764742</v>
      </c>
      <c r="P15" s="7" t="n">
        <f aca="false">IF(H$33=0,0,H15/H$33)</f>
        <v>0.043995339306521</v>
      </c>
    </row>
    <row r="16" customFormat="false" ht="15" hidden="false" customHeight="false" outlineLevel="0" collapsed="false">
      <c r="A16" s="2" t="s">
        <v>52</v>
      </c>
      <c r="B16" s="10" t="n">
        <v>328</v>
      </c>
      <c r="C16" s="10" t="n">
        <v>329</v>
      </c>
      <c r="D16" s="10" t="n">
        <v>429</v>
      </c>
      <c r="E16" s="10" t="n">
        <v>635</v>
      </c>
      <c r="F16" s="10" t="n">
        <v>986</v>
      </c>
      <c r="G16" s="10" t="n">
        <v>586</v>
      </c>
      <c r="H16" s="11" t="n">
        <f aca="false">SUM(B16:G16)</f>
        <v>3293</v>
      </c>
      <c r="J16" s="7" t="n">
        <f aca="false">IF(B$33=0,0,B16/B$33)</f>
        <v>0.00998082950430575</v>
      </c>
      <c r="K16" s="7" t="n">
        <f aca="false">IF(C$33=0,0,C16/C$33)</f>
        <v>0.0138328287924655</v>
      </c>
      <c r="L16" s="7" t="n">
        <f aca="false">IF(D$33=0,0,D16/D$33)</f>
        <v>0.0141996557659208</v>
      </c>
      <c r="M16" s="7" t="n">
        <f aca="false">IF(E$33=0,0,E16/E$33)</f>
        <v>0.016398522841722</v>
      </c>
      <c r="N16" s="7" t="n">
        <f aca="false">IF(F$33=0,0,F16/F$33)</f>
        <v>0.035641989589358</v>
      </c>
      <c r="O16" s="7" t="n">
        <f aca="false">IF(G$33=0,0,G16/G$33)</f>
        <v>0.0279353577727988</v>
      </c>
      <c r="P16" s="7" t="n">
        <f aca="false">IF(H$33=0,0,H16/H$33)</f>
        <v>0.0189010635794356</v>
      </c>
    </row>
    <row r="17" customFormat="false" ht="15" hidden="false" customHeight="false" outlineLevel="0" collapsed="false">
      <c r="A17" s="2" t="s">
        <v>53</v>
      </c>
      <c r="B17" s="10" t="n">
        <v>637</v>
      </c>
      <c r="C17" s="10" t="n">
        <v>224</v>
      </c>
      <c r="D17" s="10" t="n">
        <v>146</v>
      </c>
      <c r="E17" s="10" t="n">
        <v>198</v>
      </c>
      <c r="F17" s="10" t="n">
        <v>293</v>
      </c>
      <c r="G17" s="10" t="n">
        <v>76</v>
      </c>
      <c r="H17" s="11" t="n">
        <f aca="false">SUM(B17:G17)</f>
        <v>1574</v>
      </c>
      <c r="J17" s="7" t="n">
        <f aca="false">IF(B$33=0,0,B17/B$33)</f>
        <v>0.0193835012019597</v>
      </c>
      <c r="K17" s="7" t="n">
        <f aca="false">IF(C$33=0,0,C17/C$33)</f>
        <v>0.00941809619912546</v>
      </c>
      <c r="L17" s="7" t="n">
        <f aca="false">IF(D$33=0,0,D17/D$33)</f>
        <v>0.00483251688070965</v>
      </c>
      <c r="M17" s="7" t="n">
        <f aca="false">IF(E$33=0,0,E17/E$33)</f>
        <v>0.00511324019316685</v>
      </c>
      <c r="N17" s="7" t="n">
        <f aca="false">IF(F$33=0,0,F17/F$33)</f>
        <v>0.0105913823019086</v>
      </c>
      <c r="O17" s="7" t="n">
        <f aca="false">IF(G$33=0,0,G17/G$33)</f>
        <v>0.00362301568384421</v>
      </c>
      <c r="P17" s="7" t="n">
        <f aca="false">IF(H$33=0,0,H17/H$33)</f>
        <v>0.0090343984433743</v>
      </c>
    </row>
    <row r="18" customFormat="false" ht="15" hidden="false" customHeight="false" outlineLevel="0" collapsed="false">
      <c r="A18" s="6" t="s">
        <v>54</v>
      </c>
      <c r="B18" s="9" t="n">
        <f aca="false">SUM(B19:B22)</f>
        <v>4119</v>
      </c>
      <c r="C18" s="9" t="n">
        <f aca="false">SUM(C19:C22)</f>
        <v>1740</v>
      </c>
      <c r="D18" s="9" t="n">
        <f aca="false">SUM(D19:D22)</f>
        <v>1309</v>
      </c>
      <c r="E18" s="9" t="n">
        <f aca="false">SUM(E19:E22)</f>
        <v>1085</v>
      </c>
      <c r="F18" s="9" t="n">
        <f aca="false">SUM(F19:F22)</f>
        <v>522</v>
      </c>
      <c r="G18" s="9" t="n">
        <f aca="false">SUM(G19:G22)</f>
        <v>179</v>
      </c>
      <c r="H18" s="9" t="n">
        <f aca="false">SUM(B18:G18)</f>
        <v>8954</v>
      </c>
      <c r="J18" s="8" t="n">
        <f aca="false">IF(B$33=0,0,B18/B$33)</f>
        <v>0.125338526610474</v>
      </c>
      <c r="K18" s="8" t="n">
        <f aca="false">IF(C$33=0,0,C18/C$33)</f>
        <v>0.0731584258324924</v>
      </c>
      <c r="L18" s="8" t="n">
        <f aca="false">IF(D$33=0,0,D18/D$33)</f>
        <v>0.0433271547729379</v>
      </c>
      <c r="M18" s="8" t="n">
        <f aca="false">IF(E$33=0,0,E18/E$33)</f>
        <v>0.0280195232807375</v>
      </c>
      <c r="N18" s="8" t="n">
        <f aca="false">IF(F$33=0,0,F18/F$33)</f>
        <v>0.0188692886061307</v>
      </c>
      <c r="O18" s="8" t="n">
        <f aca="false">IF(G$33=0,0,G18/G$33)</f>
        <v>0.00853315536063307</v>
      </c>
      <c r="P18" s="8" t="n">
        <f aca="false">IF(H$33=0,0,H18/H$33)</f>
        <v>0.0513939032159933</v>
      </c>
    </row>
    <row r="19" customFormat="false" ht="15" hidden="false" customHeight="false" outlineLevel="0" collapsed="false">
      <c r="A19" s="2" t="s">
        <v>55</v>
      </c>
      <c r="B19" s="10" t="n">
        <v>1043</v>
      </c>
      <c r="C19" s="10" t="n">
        <v>420</v>
      </c>
      <c r="D19" s="10" t="n">
        <v>293</v>
      </c>
      <c r="E19" s="10" t="n">
        <v>214</v>
      </c>
      <c r="F19" s="10" t="n">
        <v>104</v>
      </c>
      <c r="G19" s="10" t="n">
        <v>43</v>
      </c>
      <c r="H19" s="11" t="n">
        <f aca="false">SUM(B19:G19)</f>
        <v>2117</v>
      </c>
      <c r="J19" s="7" t="n">
        <f aca="false">IF(B$33=0,0,B19/B$33)</f>
        <v>0.0317378206493625</v>
      </c>
      <c r="K19" s="7" t="n">
        <f aca="false">IF(C$33=0,0,C19/C$33)</f>
        <v>0.0176589303733602</v>
      </c>
      <c r="L19" s="7" t="n">
        <f aca="false">IF(D$33=0,0,D19/D$33)</f>
        <v>0.0096981331921091</v>
      </c>
      <c r="M19" s="7" t="n">
        <f aca="false">IF(E$33=0,0,E19/E$33)</f>
        <v>0.00552643131988741</v>
      </c>
      <c r="N19" s="7" t="n">
        <f aca="false">IF(F$33=0,0,F19/F$33)</f>
        <v>0.0037593984962406</v>
      </c>
      <c r="O19" s="7" t="n">
        <f aca="false">IF(G$33=0,0,G19/G$33)</f>
        <v>0.00204986413691186</v>
      </c>
      <c r="P19" s="7" t="n">
        <f aca="false">IF(H$33=0,0,H19/H$33)</f>
        <v>0.0121510937132296</v>
      </c>
    </row>
    <row r="20" customFormat="false" ht="15" hidden="false" customHeight="false" outlineLevel="0" collapsed="false">
      <c r="A20" s="2" t="s">
        <v>56</v>
      </c>
      <c r="B20" s="10" t="n">
        <v>612</v>
      </c>
      <c r="C20" s="10" t="n">
        <v>229</v>
      </c>
      <c r="D20" s="10" t="n">
        <v>137</v>
      </c>
      <c r="E20" s="10" t="n">
        <v>160</v>
      </c>
      <c r="F20" s="10" t="n">
        <v>84</v>
      </c>
      <c r="G20" s="10" t="n">
        <v>27</v>
      </c>
      <c r="H20" s="11" t="n">
        <f aca="false">SUM(B20:G20)</f>
        <v>1249</v>
      </c>
      <c r="J20" s="7" t="n">
        <f aca="false">IF(B$33=0,0,B20/B$33)</f>
        <v>0.0186227672458388</v>
      </c>
      <c r="K20" s="7" t="n">
        <f aca="false">IF(C$33=0,0,C20/C$33)</f>
        <v>0.00962832156071308</v>
      </c>
      <c r="L20" s="7" t="n">
        <f aca="false">IF(D$33=0,0,D20/D$33)</f>
        <v>0.00453462200450152</v>
      </c>
      <c r="M20" s="7" t="n">
        <f aca="false">IF(E$33=0,0,E20/E$33)</f>
        <v>0.00413191126720554</v>
      </c>
      <c r="N20" s="7" t="n">
        <f aca="false">IF(F$33=0,0,F20/F$33)</f>
        <v>0.00303643724696356</v>
      </c>
      <c r="O20" s="7" t="n">
        <f aca="false">IF(G$33=0,0,G20/G$33)</f>
        <v>0.00128712399294465</v>
      </c>
      <c r="P20" s="7" t="n">
        <f aca="false">IF(H$33=0,0,H20/H$33)</f>
        <v>0.00716897309769663</v>
      </c>
    </row>
    <row r="21" customFormat="false" ht="15" hidden="false" customHeight="false" outlineLevel="0" collapsed="false">
      <c r="A21" s="2" t="s">
        <v>57</v>
      </c>
      <c r="B21" s="10" t="n">
        <v>1676</v>
      </c>
      <c r="C21" s="10" t="n">
        <v>713</v>
      </c>
      <c r="D21" s="10" t="n">
        <v>565</v>
      </c>
      <c r="E21" s="10" t="n">
        <v>385</v>
      </c>
      <c r="F21" s="10" t="n">
        <v>173</v>
      </c>
      <c r="G21" s="10" t="n">
        <v>43</v>
      </c>
      <c r="H21" s="11" t="n">
        <f aca="false">SUM(B21:G21)</f>
        <v>3555</v>
      </c>
      <c r="J21" s="7" t="n">
        <f aca="false">IF(B$33=0,0,B21/B$33)</f>
        <v>0.0509996044183428</v>
      </c>
      <c r="K21" s="7" t="n">
        <f aca="false">IF(C$33=0,0,C21/C$33)</f>
        <v>0.0299781365623949</v>
      </c>
      <c r="L21" s="7" t="n">
        <f aca="false">IF(D$33=0,0,D21/D$33)</f>
        <v>0.0187011783397326</v>
      </c>
      <c r="M21" s="7" t="n">
        <f aca="false">IF(E$33=0,0,E21/E$33)</f>
        <v>0.00994241148671332</v>
      </c>
      <c r="N21" s="7" t="n">
        <f aca="false">IF(F$33=0,0,F21/F$33)</f>
        <v>0.00625361480624639</v>
      </c>
      <c r="O21" s="7" t="n">
        <f aca="false">IF(G$33=0,0,G21/G$33)</f>
        <v>0.00204986413691186</v>
      </c>
      <c r="P21" s="7" t="n">
        <f aca="false">IF(H$33=0,0,H21/H$33)</f>
        <v>0.0204048833965665</v>
      </c>
    </row>
    <row r="22" customFormat="false" ht="15" hidden="false" customHeight="false" outlineLevel="0" collapsed="false">
      <c r="A22" s="2" t="s">
        <v>58</v>
      </c>
      <c r="B22" s="11" t="n">
        <f aca="false">'Jewish adjustment'!C35</f>
        <v>788</v>
      </c>
      <c r="C22" s="11" t="n">
        <f aca="false">'Jewish adjustment'!D35</f>
        <v>378</v>
      </c>
      <c r="D22" s="11" t="n">
        <f aca="false">'Jewish adjustment'!E35</f>
        <v>314</v>
      </c>
      <c r="E22" s="11" t="n">
        <f aca="false">'Jewish adjustment'!F35</f>
        <v>326</v>
      </c>
      <c r="F22" s="11" t="n">
        <f aca="false">'Jewish adjustment'!G35</f>
        <v>161</v>
      </c>
      <c r="G22" s="11" t="n">
        <f aca="false">'Jewish adjustment'!H35</f>
        <v>66</v>
      </c>
      <c r="H22" s="11" t="n">
        <f aca="false">SUM(B22:G22)</f>
        <v>2033</v>
      </c>
      <c r="J22" s="7" t="n">
        <f aca="false">IF(B$33=0,0,B22/B$33)</f>
        <v>0.0239783342969297</v>
      </c>
      <c r="K22" s="7" t="n">
        <f aca="false">IF(C$33=0,0,C22/C$33)</f>
        <v>0.0158930373360242</v>
      </c>
      <c r="L22" s="7" t="n">
        <f aca="false">IF(D$33=0,0,D22/D$33)</f>
        <v>0.0103932212365947</v>
      </c>
      <c r="M22" s="7" t="n">
        <f aca="false">IF(E$33=0,0,E22/E$33)</f>
        <v>0.00841876920693128</v>
      </c>
      <c r="N22" s="7" t="n">
        <f aca="false">IF(F$33=0,0,F22/F$33)</f>
        <v>0.00581983805668016</v>
      </c>
      <c r="O22" s="7" t="n">
        <f aca="false">IF(G$33=0,0,G22/G$33)</f>
        <v>0.00314630309386471</v>
      </c>
      <c r="P22" s="7" t="n">
        <f aca="false">IF(H$33=0,0,H22/H$33)</f>
        <v>0.0116689530085006</v>
      </c>
    </row>
    <row r="23" customFormat="false" ht="15" hidden="false" customHeight="false" outlineLevel="0" collapsed="false">
      <c r="A23" s="6" t="s">
        <v>59</v>
      </c>
      <c r="B23" s="9" t="n">
        <f aca="false">SUM(B24:B28)</f>
        <v>17742</v>
      </c>
      <c r="C23" s="9" t="n">
        <f aca="false">SUM(C24:C28)</f>
        <v>15897</v>
      </c>
      <c r="D23" s="9" t="n">
        <f aca="false">SUM(D24:D28)</f>
        <v>20039</v>
      </c>
      <c r="E23" s="9" t="n">
        <f aca="false">SUM(E24:E28)</f>
        <v>24640</v>
      </c>
      <c r="F23" s="9" t="n">
        <f aca="false">SUM(F24:F28)</f>
        <v>20760</v>
      </c>
      <c r="G23" s="9" t="n">
        <f aca="false">SUM(G24:G28)</f>
        <v>17765</v>
      </c>
      <c r="H23" s="9" t="n">
        <f aca="false">SUM(B23:G23)</f>
        <v>116843</v>
      </c>
      <c r="J23" s="8" t="n">
        <f aca="false">IF(B$33=0,0,B23/B$33)</f>
        <v>0.539877673979856</v>
      </c>
      <c r="K23" s="8" t="n">
        <f aca="false">IF(C$33=0,0,C23/C$33)</f>
        <v>0.668390514631685</v>
      </c>
      <c r="L23" s="8" t="n">
        <f aca="false">IF(D$33=0,0,D23/D$33)</f>
        <v>0.663279491592745</v>
      </c>
      <c r="M23" s="8" t="n">
        <f aca="false">IF(E$33=0,0,E23/E$33)</f>
        <v>0.636314335149653</v>
      </c>
      <c r="N23" s="8" t="n">
        <f aca="false">IF(F$33=0,0,F23/F$33)</f>
        <v>0.750433776749566</v>
      </c>
      <c r="O23" s="8" t="n">
        <f aca="false">IF(G$33=0,0,G23/G$33)</f>
        <v>0.846879916098584</v>
      </c>
      <c r="P23" s="8" t="n">
        <f aca="false">IF(H$33=0,0,H23/H$33)</f>
        <v>0.67065198050774</v>
      </c>
    </row>
    <row r="24" customFormat="false" ht="15" hidden="false" customHeight="false" outlineLevel="0" collapsed="false">
      <c r="A24" s="2" t="s">
        <v>60</v>
      </c>
      <c r="B24" s="10" t="n">
        <v>14620</v>
      </c>
      <c r="C24" s="10" t="n">
        <v>13291</v>
      </c>
      <c r="D24" s="10" t="n">
        <v>13650</v>
      </c>
      <c r="E24" s="10" t="n">
        <v>17081</v>
      </c>
      <c r="F24" s="10" t="n">
        <v>18059</v>
      </c>
      <c r="G24" s="10" t="n">
        <v>16466</v>
      </c>
      <c r="H24" s="11" t="n">
        <f aca="false">SUM(B24:G24)</f>
        <v>93167</v>
      </c>
      <c r="J24" s="7" t="n">
        <f aca="false">IF(B$33=0,0,B24/B$33)</f>
        <v>0.444877217539482</v>
      </c>
      <c r="K24" s="7" t="n">
        <f aca="false">IF(C$33=0,0,C24/C$33)</f>
        <v>0.558821056172217</v>
      </c>
      <c r="L24" s="7" t="n">
        <f aca="false">IF(D$33=0,0,D24/D$33)</f>
        <v>0.451807228915663</v>
      </c>
      <c r="M24" s="7" t="n">
        <f aca="false">IF(E$33=0,0,E24/E$33)</f>
        <v>0.441107352219611</v>
      </c>
      <c r="N24" s="7" t="n">
        <f aca="false">IF(F$33=0,0,F24/F$33)</f>
        <v>0.652797860034702</v>
      </c>
      <c r="O24" s="7" t="n">
        <f aca="false">IF(G$33=0,0,G24/G$33)</f>
        <v>0.784954950660247</v>
      </c>
      <c r="P24" s="7" t="n">
        <f aca="false">IF(H$33=0,0,H24/H$33)</f>
        <v>0.534757179017696</v>
      </c>
    </row>
    <row r="25" customFormat="false" ht="15" hidden="false" customHeight="false" outlineLevel="0" collapsed="false">
      <c r="A25" s="2" t="s">
        <v>61</v>
      </c>
      <c r="B25" s="10" t="n">
        <v>95</v>
      </c>
      <c r="C25" s="10" t="n">
        <v>160</v>
      </c>
      <c r="D25" s="10" t="n">
        <v>333</v>
      </c>
      <c r="E25" s="10" t="n">
        <v>426</v>
      </c>
      <c r="F25" s="10" t="n">
        <v>496</v>
      </c>
      <c r="G25" s="10" t="n">
        <v>529</v>
      </c>
      <c r="H25" s="11" t="n">
        <f aca="false">SUM(B25:G25)</f>
        <v>2039</v>
      </c>
      <c r="J25" s="7" t="n">
        <f aca="false">IF(B$33=0,0,B25/B$33)</f>
        <v>0.00289078903325929</v>
      </c>
      <c r="K25" s="7" t="n">
        <f aca="false">IF(C$33=0,0,C25/C$33)</f>
        <v>0.0067272115708039</v>
      </c>
      <c r="L25" s="7" t="n">
        <f aca="false">IF(D$33=0,0,D25/D$33)</f>
        <v>0.0110221104197008</v>
      </c>
      <c r="M25" s="7" t="n">
        <f aca="false">IF(E$33=0,0,E25/E$33)</f>
        <v>0.0110012137489347</v>
      </c>
      <c r="N25" s="7" t="n">
        <f aca="false">IF(F$33=0,0,F25/F$33)</f>
        <v>0.0179294389820706</v>
      </c>
      <c r="O25" s="7" t="n">
        <f aca="false">IF(G$33=0,0,G25/G$33)</f>
        <v>0.0252180960099156</v>
      </c>
      <c r="P25" s="7" t="n">
        <f aca="false">IF(H$33=0,0,H25/H$33)</f>
        <v>0.011703391630267</v>
      </c>
    </row>
    <row r="26" customFormat="false" ht="15" hidden="false" customHeight="false" outlineLevel="0" collapsed="false">
      <c r="A26" s="2" t="s">
        <v>62</v>
      </c>
      <c r="B26" s="10" t="n">
        <v>24</v>
      </c>
      <c r="C26" s="10" t="n">
        <v>24</v>
      </c>
      <c r="D26" s="10" t="n">
        <v>27</v>
      </c>
      <c r="E26" s="10" t="n">
        <v>10</v>
      </c>
      <c r="F26" s="10" t="n">
        <v>16</v>
      </c>
      <c r="G26" s="10" t="n">
        <v>7</v>
      </c>
      <c r="H26" s="11" t="n">
        <f aca="false">SUM(B26:G26)</f>
        <v>108</v>
      </c>
      <c r="J26" s="7" t="n">
        <f aca="false">IF(B$33=0,0,B26/B$33)</f>
        <v>0.000730304597876031</v>
      </c>
      <c r="K26" s="7" t="n">
        <f aca="false">IF(C$33=0,0,C26/C$33)</f>
        <v>0.00100908173562059</v>
      </c>
      <c r="L26" s="7" t="n">
        <f aca="false">IF(D$33=0,0,D26/D$33)</f>
        <v>0.000893684628624388</v>
      </c>
      <c r="M26" s="7" t="n">
        <f aca="false">IF(E$33=0,0,E26/E$33)</f>
        <v>0.000258244454200346</v>
      </c>
      <c r="N26" s="7" t="n">
        <f aca="false">IF(F$33=0,0,F26/F$33)</f>
        <v>0.000578368999421631</v>
      </c>
      <c r="O26" s="7" t="n">
        <f aca="false">IF(G$33=0,0,G26/G$33)</f>
        <v>0.000333698812985651</v>
      </c>
      <c r="P26" s="7" t="n">
        <f aca="false">IF(H$33=0,0,H26/H$33)</f>
        <v>0.000619895191794424</v>
      </c>
    </row>
    <row r="27" customFormat="false" ht="15" hidden="false" customHeight="false" outlineLevel="0" collapsed="false">
      <c r="A27" s="2" t="s">
        <v>63</v>
      </c>
      <c r="B27" s="10" t="n">
        <v>78</v>
      </c>
      <c r="C27" s="10" t="n">
        <v>83</v>
      </c>
      <c r="D27" s="10" t="n">
        <v>206</v>
      </c>
      <c r="E27" s="10" t="n">
        <v>155</v>
      </c>
      <c r="F27" s="10" t="n">
        <v>43</v>
      </c>
      <c r="G27" s="10" t="n">
        <v>8</v>
      </c>
      <c r="H27" s="11" t="n">
        <f aca="false">SUM(B27:G27)</f>
        <v>573</v>
      </c>
      <c r="J27" s="7" t="n">
        <f aca="false">IF(B$33=0,0,B27/B$33)</f>
        <v>0.0023734899430971</v>
      </c>
      <c r="K27" s="7" t="n">
        <f aca="false">IF(C$33=0,0,C27/C$33)</f>
        <v>0.00348974100235452</v>
      </c>
      <c r="L27" s="7" t="n">
        <f aca="false">IF(D$33=0,0,D27/D$33)</f>
        <v>0.00681848272209718</v>
      </c>
      <c r="M27" s="7" t="n">
        <f aca="false">IF(E$33=0,0,E27/E$33)</f>
        <v>0.00400278904010536</v>
      </c>
      <c r="N27" s="7" t="n">
        <f aca="false">IF(F$33=0,0,F27/F$33)</f>
        <v>0.00155436668594563</v>
      </c>
      <c r="O27" s="7" t="n">
        <f aca="false">IF(G$33=0,0,G27/G$33)</f>
        <v>0.000381370071983601</v>
      </c>
      <c r="P27" s="7" t="n">
        <f aca="false">IF(H$33=0,0,H27/H$33)</f>
        <v>0.00328888837868709</v>
      </c>
    </row>
    <row r="28" customFormat="false" ht="15" hidden="false" customHeight="false" outlineLevel="0" collapsed="false">
      <c r="A28" s="2" t="s">
        <v>64</v>
      </c>
      <c r="B28" s="11" t="n">
        <f aca="false">'Jewish adjustment'!C29</f>
        <v>2925</v>
      </c>
      <c r="C28" s="11" t="n">
        <f aca="false">'Jewish adjustment'!D29</f>
        <v>2339</v>
      </c>
      <c r="D28" s="11" t="n">
        <f aca="false">'Jewish adjustment'!E29</f>
        <v>5823</v>
      </c>
      <c r="E28" s="11" t="n">
        <f aca="false">'Jewish adjustment'!F29</f>
        <v>6968</v>
      </c>
      <c r="F28" s="11" t="n">
        <f aca="false">'Jewish adjustment'!G29</f>
        <v>2146</v>
      </c>
      <c r="G28" s="11" t="n">
        <f aca="false">'Jewish adjustment'!H29</f>
        <v>755</v>
      </c>
      <c r="H28" s="11" t="n">
        <f aca="false">SUM(B28:G28)</f>
        <v>20956</v>
      </c>
      <c r="J28" s="7" t="n">
        <f aca="false">IF(B$33=0,0,B28/B$33)</f>
        <v>0.0890058728661413</v>
      </c>
      <c r="K28" s="7" t="n">
        <f aca="false">IF(C$33=0,0,C28/C$33)</f>
        <v>0.0983434241506895</v>
      </c>
      <c r="L28" s="7" t="n">
        <f aca="false">IF(D$33=0,0,D28/D$33)</f>
        <v>0.19273798490666</v>
      </c>
      <c r="M28" s="7" t="n">
        <f aca="false">IF(E$33=0,0,E28/E$33)</f>
        <v>0.179944735686801</v>
      </c>
      <c r="N28" s="7" t="n">
        <f aca="false">IF(F$33=0,0,F28/F$33)</f>
        <v>0.0775737420474263</v>
      </c>
      <c r="O28" s="7" t="n">
        <f aca="false">IF(G$33=0,0,G28/G$33)</f>
        <v>0.0359918005434524</v>
      </c>
      <c r="P28" s="7" t="n">
        <f aca="false">IF(H$33=0,0,H28/H$33)</f>
        <v>0.120282626289296</v>
      </c>
    </row>
    <row r="29" customFormat="false" ht="15" hidden="false" customHeight="false" outlineLevel="0" collapsed="false">
      <c r="A29" s="6" t="s">
        <v>65</v>
      </c>
      <c r="B29" s="9" t="n">
        <f aca="false">SUM(B30:B31)</f>
        <v>952</v>
      </c>
      <c r="C29" s="9" t="n">
        <f aca="false">SUM(C30:C31)</f>
        <v>684</v>
      </c>
      <c r="D29" s="9" t="n">
        <f aca="false">SUM(D30:D31)</f>
        <v>1045</v>
      </c>
      <c r="E29" s="9" t="n">
        <f aca="false">SUM(E30:E31)</f>
        <v>1317</v>
      </c>
      <c r="F29" s="9" t="n">
        <f aca="false">SUM(F30:F31)</f>
        <v>583</v>
      </c>
      <c r="G29" s="9" t="n">
        <f aca="false">SUM(G30:G31)</f>
        <v>368</v>
      </c>
      <c r="H29" s="9" t="n">
        <f aca="false">SUM(B29:G29)</f>
        <v>4949</v>
      </c>
      <c r="J29" s="8" t="n">
        <f aca="false">IF(B$33=0,0,B29/B$33)</f>
        <v>0.0289687490490826</v>
      </c>
      <c r="K29" s="8" t="n">
        <f aca="false">IF(C$33=0,0,C29/C$33)</f>
        <v>0.0287588294651867</v>
      </c>
      <c r="L29" s="8" t="n">
        <f aca="false">IF(D$33=0,0,D29/D$33)</f>
        <v>0.0345889050708328</v>
      </c>
      <c r="M29" s="8" t="n">
        <f aca="false">IF(E$33=0,0,E29/E$33)</f>
        <v>0.0340107946181856</v>
      </c>
      <c r="N29" s="8" t="n">
        <f aca="false">IF(F$33=0,0,F29/F$33)</f>
        <v>0.0210743204164257</v>
      </c>
      <c r="O29" s="8" t="n">
        <f aca="false">IF(G$33=0,0,G29/G$33)</f>
        <v>0.0175430233112457</v>
      </c>
      <c r="P29" s="8" t="n">
        <f aca="false">IF(H$33=0,0,H29/H$33)</f>
        <v>0.0284061231869501</v>
      </c>
    </row>
    <row r="30" customFormat="false" ht="15" hidden="false" customHeight="false" outlineLevel="0" collapsed="false">
      <c r="A30" s="2" t="s">
        <v>66</v>
      </c>
      <c r="B30" s="10" t="n">
        <v>352</v>
      </c>
      <c r="C30" s="10" t="n">
        <v>214</v>
      </c>
      <c r="D30" s="10" t="n">
        <v>273</v>
      </c>
      <c r="E30" s="10" t="n">
        <v>321</v>
      </c>
      <c r="F30" s="10" t="n">
        <v>90</v>
      </c>
      <c r="G30" s="10" t="n">
        <v>32</v>
      </c>
      <c r="H30" s="11" t="n">
        <f aca="false">SUM(B30:G30)</f>
        <v>1282</v>
      </c>
      <c r="J30" s="7" t="n">
        <f aca="false">IF(B$33=0,0,B30/B$33)</f>
        <v>0.0107111341021818</v>
      </c>
      <c r="K30" s="7" t="n">
        <f aca="false">IF(C$33=0,0,C30/C$33)</f>
        <v>0.00899764547595022</v>
      </c>
      <c r="L30" s="7" t="n">
        <f aca="false">IF(D$33=0,0,D30/D$33)</f>
        <v>0.00903614457831325</v>
      </c>
      <c r="M30" s="7" t="n">
        <f aca="false">IF(E$33=0,0,E30/E$33)</f>
        <v>0.00828964697983111</v>
      </c>
      <c r="N30" s="7" t="n">
        <f aca="false">IF(F$33=0,0,F30/F$33)</f>
        <v>0.00325332562174667</v>
      </c>
      <c r="O30" s="7" t="n">
        <f aca="false">IF(G$33=0,0,G30/G$33)</f>
        <v>0.0015254802879344</v>
      </c>
      <c r="P30" s="7" t="n">
        <f aca="false">IF(H$33=0,0,H30/H$33)</f>
        <v>0.00735838551741159</v>
      </c>
    </row>
    <row r="31" customFormat="false" ht="15" hidden="false" customHeight="false" outlineLevel="0" collapsed="false">
      <c r="A31" s="2" t="s">
        <v>67</v>
      </c>
      <c r="B31" s="11" t="n">
        <f aca="false">'Jewish adjustment'!C32</f>
        <v>600</v>
      </c>
      <c r="C31" s="11" t="n">
        <f aca="false">'Jewish adjustment'!D32</f>
        <v>470</v>
      </c>
      <c r="D31" s="11" t="n">
        <f aca="false">'Jewish adjustment'!E32</f>
        <v>772</v>
      </c>
      <c r="E31" s="11" t="n">
        <f aca="false">'Jewish adjustment'!F32</f>
        <v>996</v>
      </c>
      <c r="F31" s="11" t="n">
        <f aca="false">'Jewish adjustment'!G32</f>
        <v>493</v>
      </c>
      <c r="G31" s="11" t="n">
        <f aca="false">'Jewish adjustment'!H32</f>
        <v>336</v>
      </c>
      <c r="H31" s="11" t="n">
        <f aca="false">SUM(B31:G31)</f>
        <v>3667</v>
      </c>
      <c r="J31" s="7" t="n">
        <f aca="false">IF(B$33=0,0,B31/B$33)</f>
        <v>0.0182576149469008</v>
      </c>
      <c r="K31" s="7" t="n">
        <f aca="false">IF(C$33=0,0,C31/C$33)</f>
        <v>0.0197611839892365</v>
      </c>
      <c r="L31" s="7" t="n">
        <f aca="false">IF(D$33=0,0,D31/D$33)</f>
        <v>0.0255527604925195</v>
      </c>
      <c r="M31" s="7" t="n">
        <f aca="false">IF(E$33=0,0,E31/E$33)</f>
        <v>0.0257211476383545</v>
      </c>
      <c r="N31" s="7" t="n">
        <f aca="false">IF(F$33=0,0,F31/F$33)</f>
        <v>0.017820994794679</v>
      </c>
      <c r="O31" s="7" t="n">
        <f aca="false">IF(G$33=0,0,G31/G$33)</f>
        <v>0.0160175430233112</v>
      </c>
      <c r="P31" s="7" t="n">
        <f aca="false">IF(H$33=0,0,H31/H$33)</f>
        <v>0.0210477376695385</v>
      </c>
    </row>
    <row r="32" customFormat="false" ht="15" hidden="false" customHeight="false" outlineLevel="0" collapsed="false">
      <c r="A32" s="6" t="s">
        <v>73</v>
      </c>
      <c r="B32" s="9" t="n">
        <f aca="false">'Jewish adjustment'!C36</f>
        <v>12</v>
      </c>
      <c r="C32" s="9" t="n">
        <f aca="false">'Jewish adjustment'!D36</f>
        <v>13</v>
      </c>
      <c r="D32" s="9" t="n">
        <f aca="false">'Jewish adjustment'!E36</f>
        <v>10</v>
      </c>
      <c r="E32" s="9" t="n">
        <f aca="false">'Jewish adjustment'!F36</f>
        <v>22</v>
      </c>
      <c r="F32" s="9" t="n">
        <f aca="false">'Jewish adjustment'!G36</f>
        <v>26</v>
      </c>
      <c r="G32" s="9" t="n">
        <f aca="false">'Jewish adjustment'!H36</f>
        <v>21</v>
      </c>
      <c r="H32" s="9" t="n">
        <f aca="false">SUM(B32:G32)</f>
        <v>104</v>
      </c>
      <c r="J32" s="8" t="n">
        <f aca="false">IF(B$33=0,0,B32/B$33)</f>
        <v>0.000365152298938015</v>
      </c>
      <c r="K32" s="8" t="n">
        <f aca="false">IF(C$33=0,0,C32/C$33)</f>
        <v>0.000546585940127817</v>
      </c>
      <c r="L32" s="8" t="n">
        <f aca="false">IF(D$33=0,0,D32/D$33)</f>
        <v>0.000330994306897921</v>
      </c>
      <c r="M32" s="8" t="n">
        <f aca="false">IF(E$33=0,0,E32/E$33)</f>
        <v>0.000568137799240761</v>
      </c>
      <c r="N32" s="8" t="n">
        <f aca="false">IF(F$33=0,0,F32/F$33)</f>
        <v>0.00093984962406015</v>
      </c>
      <c r="O32" s="8" t="n">
        <f aca="false">IF(G$33=0,0,G32/G$33)</f>
        <v>0.00100109643895695</v>
      </c>
      <c r="P32" s="8" t="n">
        <f aca="false">IF(H$33=0,0,H32/H$33)</f>
        <v>0.000596936110616853</v>
      </c>
    </row>
    <row r="33" customFormat="false" ht="15" hidden="false" customHeight="false" outlineLevel="0" collapsed="false">
      <c r="A33" s="12" t="s">
        <v>74</v>
      </c>
      <c r="B33" s="13" t="n">
        <f aca="false">B8+B14+B18+B23+B29+B32</f>
        <v>32863</v>
      </c>
      <c r="C33" s="13" t="n">
        <f aca="false">C8+C14+C18+C23+C29+C32</f>
        <v>23784</v>
      </c>
      <c r="D33" s="13" t="n">
        <f aca="false">D8+D14+D18+D23+D29+D32</f>
        <v>30212</v>
      </c>
      <c r="E33" s="13" t="n">
        <f aca="false">E8+E14+E18+E23+E29+E32</f>
        <v>38723</v>
      </c>
      <c r="F33" s="13" t="n">
        <f aca="false">F8+F14+F18+F23+F29+F32</f>
        <v>27664</v>
      </c>
      <c r="G33" s="13" t="n">
        <f aca="false">G8+G14+G18+G23+G29+G32</f>
        <v>20977</v>
      </c>
      <c r="H33" s="13" t="n">
        <f aca="false">SUM(B33:G33)</f>
        <v>174223</v>
      </c>
      <c r="J33" s="14" t="n">
        <f aca="false">IF(B$33=0,0,B33/B$33)</f>
        <v>1</v>
      </c>
      <c r="K33" s="14" t="n">
        <f aca="false">IF(C$33=0,0,C33/C$33)</f>
        <v>1</v>
      </c>
      <c r="L33" s="14" t="n">
        <f aca="false">IF(D$33=0,0,D33/D$33)</f>
        <v>1</v>
      </c>
      <c r="M33" s="14" t="n">
        <f aca="false">IF(E$33=0,0,E33/E$33)</f>
        <v>1</v>
      </c>
      <c r="N33" s="14" t="n">
        <f aca="false">IF(F$33=0,0,F33/F$33)</f>
        <v>1</v>
      </c>
      <c r="O33" s="14" t="n">
        <f aca="false">IF(G$33=0,0,G33/G$33)</f>
        <v>1</v>
      </c>
      <c r="P33" s="14" t="n">
        <f aca="false">IF(H$33=0,0,H33/H$33)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8" min="2" style="0" width="11"/>
    <col collapsed="false" customWidth="true" hidden="false" outlineLevel="0" max="9" min="9" style="0" width="3"/>
    <col collapsed="false" customWidth="true" hidden="false" outlineLevel="0" max="16" min="10" style="0" width="11"/>
  </cols>
  <sheetData>
    <row r="1" customFormat="false" ht="15" hidden="false" customHeight="false" outlineLevel="0" collapsed="false">
      <c r="A1" s="1" t="s">
        <v>0</v>
      </c>
    </row>
    <row r="2" customFormat="false" ht="15" hidden="false" customHeight="false" outlineLevel="0" collapsed="false">
      <c r="A2" s="1" t="s">
        <v>76</v>
      </c>
    </row>
    <row r="3" customFormat="false" ht="15" hidden="false" customHeight="false" outlineLevel="0" collapsed="false">
      <c r="A3" s="2" t="s">
        <v>2</v>
      </c>
    </row>
    <row r="4" customFormat="false" ht="15" hidden="false" customHeight="false" outlineLevel="0" collapsed="false">
      <c r="A4" s="2" t="s">
        <v>70</v>
      </c>
    </row>
    <row r="6" customFormat="false" ht="15" hidden="false" customHeight="false" outlineLevel="0" collapsed="false">
      <c r="B6" s="6" t="s">
        <v>71</v>
      </c>
      <c r="J6" s="6" t="s">
        <v>72</v>
      </c>
    </row>
    <row r="7" customFormat="false" ht="15" hidden="false" customHeight="false" outlineLevel="0" collapsed="false">
      <c r="A7" s="3" t="s">
        <v>43</v>
      </c>
      <c r="B7" s="3" t="s">
        <v>35</v>
      </c>
      <c r="C7" s="3" t="s">
        <v>36</v>
      </c>
      <c r="D7" s="3" t="s">
        <v>37</v>
      </c>
      <c r="E7" s="3" t="s">
        <v>38</v>
      </c>
      <c r="F7" s="3" t="s">
        <v>39</v>
      </c>
      <c r="G7" s="3" t="s">
        <v>40</v>
      </c>
      <c r="H7" s="3" t="s">
        <v>41</v>
      </c>
      <c r="J7" s="3" t="s">
        <v>35</v>
      </c>
      <c r="K7" s="3" t="s">
        <v>36</v>
      </c>
      <c r="L7" s="3" t="s">
        <v>37</v>
      </c>
      <c r="M7" s="3" t="s">
        <v>38</v>
      </c>
      <c r="N7" s="3" t="s">
        <v>39</v>
      </c>
      <c r="O7" s="3" t="s">
        <v>40</v>
      </c>
      <c r="P7" s="3" t="s">
        <v>41</v>
      </c>
    </row>
    <row r="8" customFormat="false" ht="15" hidden="false" customHeight="false" outlineLevel="0" collapsed="false">
      <c r="A8" s="6" t="s">
        <v>44</v>
      </c>
      <c r="B8" s="9" t="n">
        <f aca="false">SUM(B9:B13)</f>
        <v>6472</v>
      </c>
      <c r="C8" s="9" t="n">
        <f aca="false">SUM(C9:C13)</f>
        <v>1981</v>
      </c>
      <c r="D8" s="9" t="n">
        <f aca="false">SUM(D9:D13)</f>
        <v>2422</v>
      </c>
      <c r="E8" s="9" t="n">
        <f aca="false">SUM(E9:E13)</f>
        <v>8053</v>
      </c>
      <c r="F8" s="9" t="n">
        <f aca="false">SUM(F9:F13)</f>
        <v>2710</v>
      </c>
      <c r="G8" s="9" t="n">
        <f aca="false">SUM(G9:G13)</f>
        <v>1231</v>
      </c>
      <c r="H8" s="9" t="n">
        <f aca="false">SUM(B8:G8)</f>
        <v>22869</v>
      </c>
      <c r="J8" s="8" t="n">
        <f aca="false">IF(B$33=0,0,B8/B$33)</f>
        <v>0.176444929116685</v>
      </c>
      <c r="K8" s="8" t="n">
        <f aca="false">IF(C$33=0,0,C8/C$33)</f>
        <v>0.122609395308535</v>
      </c>
      <c r="L8" s="8" t="n">
        <f aca="false">IF(D$33=0,0,D8/D$33)</f>
        <v>0.120335867243007</v>
      </c>
      <c r="M8" s="8" t="n">
        <f aca="false">IF(E$33=0,0,E8/E$33)</f>
        <v>0.202989514014922</v>
      </c>
      <c r="N8" s="8" t="n">
        <f aca="false">IF(F$33=0,0,F8/F$33)</f>
        <v>0.0789742095293603</v>
      </c>
      <c r="O8" s="8" t="n">
        <f aca="false">IF(G$33=0,0,G8/G$33)</f>
        <v>0.0402959180333235</v>
      </c>
      <c r="P8" s="8" t="n">
        <f aca="false">IF(H$33=0,0,H8/H$33)</f>
        <v>0.128839436619718</v>
      </c>
    </row>
    <row r="9" customFormat="false" ht="15" hidden="false" customHeight="false" outlineLevel="0" collapsed="false">
      <c r="A9" s="2" t="s">
        <v>45</v>
      </c>
      <c r="B9" s="10" t="n">
        <v>111</v>
      </c>
      <c r="C9" s="10" t="n">
        <v>58</v>
      </c>
      <c r="D9" s="10" t="n">
        <v>50</v>
      </c>
      <c r="E9" s="10" t="n">
        <v>109</v>
      </c>
      <c r="F9" s="10" t="n">
        <v>46</v>
      </c>
      <c r="G9" s="10" t="n">
        <v>14</v>
      </c>
      <c r="H9" s="11" t="n">
        <f aca="false">SUM(B9:G9)</f>
        <v>388</v>
      </c>
      <c r="J9" s="7" t="n">
        <f aca="false">IF(B$33=0,0,B9/B$33)</f>
        <v>0.00302617230098146</v>
      </c>
      <c r="K9" s="7" t="n">
        <f aca="false">IF(C$33=0,0,C9/C$33)</f>
        <v>0.00358977532957851</v>
      </c>
      <c r="L9" s="7" t="n">
        <f aca="false">IF(D$33=0,0,D9/D$33)</f>
        <v>0.00248422517016942</v>
      </c>
      <c r="M9" s="7" t="n">
        <f aca="false">IF(E$33=0,0,E9/E$33)</f>
        <v>0.00274752974389998</v>
      </c>
      <c r="N9" s="7" t="n">
        <f aca="false">IF(F$33=0,0,F9/F$33)</f>
        <v>0.00134052163776774</v>
      </c>
      <c r="O9" s="7" t="n">
        <f aca="false">IF(G$33=0,0,G9/G$33)</f>
        <v>0.000458280140102786</v>
      </c>
      <c r="P9" s="7" t="n">
        <f aca="false">IF(H$33=0,0,H9/H$33)</f>
        <v>0.00218591549295775</v>
      </c>
    </row>
    <row r="10" customFormat="false" ht="15" hidden="false" customHeight="false" outlineLevel="0" collapsed="false">
      <c r="A10" s="2" t="s">
        <v>46</v>
      </c>
      <c r="B10" s="10" t="n">
        <v>595</v>
      </c>
      <c r="C10" s="10" t="n">
        <v>220</v>
      </c>
      <c r="D10" s="10" t="n">
        <v>237</v>
      </c>
      <c r="E10" s="10" t="n">
        <v>819</v>
      </c>
      <c r="F10" s="10" t="n">
        <v>380</v>
      </c>
      <c r="G10" s="10" t="n">
        <v>141</v>
      </c>
      <c r="H10" s="11" t="n">
        <f aca="false">SUM(B10:G10)</f>
        <v>2392</v>
      </c>
      <c r="J10" s="7" t="n">
        <f aca="false">IF(B$33=0,0,B10/B$33)</f>
        <v>0.0162213740458015</v>
      </c>
      <c r="K10" s="7" t="n">
        <f aca="false">IF(C$33=0,0,C10/C$33)</f>
        <v>0.0136163891811599</v>
      </c>
      <c r="L10" s="7" t="n">
        <f aca="false">IF(D$33=0,0,D10/D$33)</f>
        <v>0.0117752273066031</v>
      </c>
      <c r="M10" s="7" t="n">
        <f aca="false">IF(E$33=0,0,E10/E$33)</f>
        <v>0.0206442831215971</v>
      </c>
      <c r="N10" s="7" t="n">
        <f aca="false">IF(F$33=0,0,F10/F$33)</f>
        <v>0.0110738743989509</v>
      </c>
      <c r="O10" s="7" t="n">
        <f aca="false">IF(G$33=0,0,G10/G$33)</f>
        <v>0.00461553569674948</v>
      </c>
      <c r="P10" s="7" t="n">
        <f aca="false">IF(H$33=0,0,H10/H$33)</f>
        <v>0.0134760563380282</v>
      </c>
    </row>
    <row r="11" customFormat="false" ht="15" hidden="false" customHeight="false" outlineLevel="0" collapsed="false">
      <c r="A11" s="2" t="s">
        <v>47</v>
      </c>
      <c r="B11" s="10" t="n">
        <v>3541</v>
      </c>
      <c r="C11" s="10" t="n">
        <v>867</v>
      </c>
      <c r="D11" s="10" t="n">
        <v>1132</v>
      </c>
      <c r="E11" s="10" t="n">
        <v>4863</v>
      </c>
      <c r="F11" s="10" t="n">
        <v>1370</v>
      </c>
      <c r="G11" s="10" t="n">
        <v>639</v>
      </c>
      <c r="H11" s="11" t="n">
        <f aca="false">SUM(B11:G11)</f>
        <v>12412</v>
      </c>
      <c r="J11" s="7" t="n">
        <f aca="false">IF(B$33=0,0,B11/B$33)</f>
        <v>0.0965376226826609</v>
      </c>
      <c r="K11" s="7" t="n">
        <f aca="false">IF(C$33=0,0,C11/C$33)</f>
        <v>0.0536609519093891</v>
      </c>
      <c r="L11" s="7" t="n">
        <f aca="false">IF(D$33=0,0,D11/D$33)</f>
        <v>0.0562428578526358</v>
      </c>
      <c r="M11" s="7" t="n">
        <f aca="false">IF(E$33=0,0,E11/E$33)</f>
        <v>0.122580157289776</v>
      </c>
      <c r="N11" s="7" t="n">
        <f aca="false">IF(F$33=0,0,F11/F$33)</f>
        <v>0.0399242313856914</v>
      </c>
      <c r="O11" s="7" t="n">
        <f aca="false">IF(G$33=0,0,G11/G$33)</f>
        <v>0.02091721496612</v>
      </c>
      <c r="P11" s="7" t="n">
        <f aca="false">IF(H$33=0,0,H11/H$33)</f>
        <v>0.0699267605633803</v>
      </c>
    </row>
    <row r="12" customFormat="false" ht="15" hidden="false" customHeight="false" outlineLevel="0" collapsed="false">
      <c r="A12" s="2" t="s">
        <v>48</v>
      </c>
      <c r="B12" s="10" t="n">
        <v>1717</v>
      </c>
      <c r="C12" s="10" t="n">
        <v>613</v>
      </c>
      <c r="D12" s="10" t="n">
        <v>702</v>
      </c>
      <c r="E12" s="10" t="n">
        <v>1428</v>
      </c>
      <c r="F12" s="10" t="n">
        <v>522</v>
      </c>
      <c r="G12" s="10" t="n">
        <v>259</v>
      </c>
      <c r="H12" s="11" t="n">
        <f aca="false">SUM(B12:G12)</f>
        <v>5241</v>
      </c>
      <c r="J12" s="7" t="n">
        <f aca="false">IF(B$33=0,0,B12/B$33)</f>
        <v>0.0468102508178844</v>
      </c>
      <c r="K12" s="7" t="n">
        <f aca="false">IF(C$33=0,0,C12/C$33)</f>
        <v>0.0379402116729591</v>
      </c>
      <c r="L12" s="7" t="n">
        <f aca="false">IF(D$33=0,0,D12/D$33)</f>
        <v>0.0348785213891787</v>
      </c>
      <c r="M12" s="7" t="n">
        <f aca="false">IF(E$33=0,0,E12/E$33)</f>
        <v>0.0359951603145796</v>
      </c>
      <c r="N12" s="7" t="n">
        <f aca="false">IF(F$33=0,0,F12/F$33)</f>
        <v>0.0152120064111904</v>
      </c>
      <c r="O12" s="7" t="n">
        <f aca="false">IF(G$33=0,0,G12/G$33)</f>
        <v>0.00847818259190154</v>
      </c>
      <c r="P12" s="7" t="n">
        <f aca="false">IF(H$33=0,0,H12/H$33)</f>
        <v>0.0295267605633803</v>
      </c>
    </row>
    <row r="13" customFormat="false" ht="15" hidden="false" customHeight="false" outlineLevel="0" collapsed="false">
      <c r="A13" s="2" t="s">
        <v>49</v>
      </c>
      <c r="B13" s="10" t="n">
        <v>508</v>
      </c>
      <c r="C13" s="10" t="n">
        <v>223</v>
      </c>
      <c r="D13" s="10" t="n">
        <v>301</v>
      </c>
      <c r="E13" s="10" t="n">
        <v>834</v>
      </c>
      <c r="F13" s="10" t="n">
        <v>392</v>
      </c>
      <c r="G13" s="10" t="n">
        <v>178</v>
      </c>
      <c r="H13" s="11" t="n">
        <f aca="false">SUM(B13:G13)</f>
        <v>2436</v>
      </c>
      <c r="J13" s="7" t="n">
        <f aca="false">IF(B$33=0,0,B13/B$33)</f>
        <v>0.0138495092693566</v>
      </c>
      <c r="K13" s="7" t="n">
        <f aca="false">IF(C$33=0,0,C13/C$33)</f>
        <v>0.0138020672154484</v>
      </c>
      <c r="L13" s="7" t="n">
        <f aca="false">IF(D$33=0,0,D13/D$33)</f>
        <v>0.0149550355244199</v>
      </c>
      <c r="M13" s="7" t="n">
        <f aca="false">IF(E$33=0,0,E13/E$33)</f>
        <v>0.0210223835450696</v>
      </c>
      <c r="N13" s="7" t="n">
        <f aca="false">IF(F$33=0,0,F13/F$33)</f>
        <v>0.0114235756957599</v>
      </c>
      <c r="O13" s="7" t="n">
        <f aca="false">IF(G$33=0,0,G13/G$33)</f>
        <v>0.0058267046384497</v>
      </c>
      <c r="P13" s="7" t="n">
        <f aca="false">IF(H$33=0,0,H13/H$33)</f>
        <v>0.0137239436619718</v>
      </c>
    </row>
    <row r="14" customFormat="false" ht="15" hidden="false" customHeight="false" outlineLevel="0" collapsed="false">
      <c r="A14" s="6" t="s">
        <v>50</v>
      </c>
      <c r="B14" s="9" t="n">
        <f aca="false">SUM(B15:B17)</f>
        <v>1165</v>
      </c>
      <c r="C14" s="9" t="n">
        <f aca="false">SUM(C15:C17)</f>
        <v>466</v>
      </c>
      <c r="D14" s="9" t="n">
        <f aca="false">SUM(D15:D17)</f>
        <v>494</v>
      </c>
      <c r="E14" s="9" t="n">
        <f aca="false">SUM(E15:E17)</f>
        <v>1232</v>
      </c>
      <c r="F14" s="9" t="n">
        <f aca="false">SUM(F15:F17)</f>
        <v>736</v>
      </c>
      <c r="G14" s="9" t="n">
        <f aca="false">SUM(G15:G17)</f>
        <v>212</v>
      </c>
      <c r="H14" s="9" t="n">
        <f aca="false">SUM(B14:G14)</f>
        <v>4305</v>
      </c>
      <c r="J14" s="8" t="n">
        <f aca="false">IF(B$33=0,0,B14/B$33)</f>
        <v>0.0317611777535442</v>
      </c>
      <c r="K14" s="8" t="n">
        <f aca="false">IF(C$33=0,0,C14/C$33)</f>
        <v>0.0288419879928205</v>
      </c>
      <c r="L14" s="8" t="n">
        <f aca="false">IF(D$33=0,0,D14/D$33)</f>
        <v>0.0245441446812739</v>
      </c>
      <c r="M14" s="8" t="n">
        <f aca="false">IF(E$33=0,0,E14/E$33)</f>
        <v>0.0310546481145392</v>
      </c>
      <c r="N14" s="8" t="n">
        <f aca="false">IF(F$33=0,0,F14/F$33)</f>
        <v>0.0214483462042838</v>
      </c>
      <c r="O14" s="8" t="n">
        <f aca="false">IF(G$33=0,0,G14/G$33)</f>
        <v>0.00693967069298504</v>
      </c>
      <c r="P14" s="8" t="n">
        <f aca="false">IF(H$33=0,0,H14/H$33)</f>
        <v>0.0242535211267606</v>
      </c>
    </row>
    <row r="15" customFormat="false" ht="15" hidden="false" customHeight="false" outlineLevel="0" collapsed="false">
      <c r="A15" s="2" t="s">
        <v>51</v>
      </c>
      <c r="B15" s="10" t="n">
        <v>839</v>
      </c>
      <c r="C15" s="10" t="n">
        <v>335</v>
      </c>
      <c r="D15" s="10" t="n">
        <v>348</v>
      </c>
      <c r="E15" s="10" t="n">
        <v>947</v>
      </c>
      <c r="F15" s="10" t="n">
        <v>388</v>
      </c>
      <c r="G15" s="10" t="n">
        <v>55</v>
      </c>
      <c r="H15" s="11" t="n">
        <f aca="false">SUM(B15:G15)</f>
        <v>2912</v>
      </c>
      <c r="J15" s="7" t="n">
        <f aca="false">IF(B$33=0,0,B15/B$33)</f>
        <v>0.0228735005452563</v>
      </c>
      <c r="K15" s="7" t="n">
        <f aca="false">IF(C$33=0,0,C15/C$33)</f>
        <v>0.0207340471622207</v>
      </c>
      <c r="L15" s="7" t="n">
        <f aca="false">IF(D$33=0,0,D15/D$33)</f>
        <v>0.0172902071843792</v>
      </c>
      <c r="M15" s="7" t="n">
        <f aca="false">IF(E$33=0,0,E15/E$33)</f>
        <v>0.0238707400685622</v>
      </c>
      <c r="N15" s="7" t="n">
        <f aca="false">IF(F$33=0,0,F15/F$33)</f>
        <v>0.0113070085968235</v>
      </c>
      <c r="O15" s="7" t="n">
        <f aca="false">IF(G$33=0,0,G15/G$33)</f>
        <v>0.00180038626468952</v>
      </c>
      <c r="P15" s="7" t="n">
        <f aca="false">IF(H$33=0,0,H15/H$33)</f>
        <v>0.0164056338028169</v>
      </c>
    </row>
    <row r="16" customFormat="false" ht="15" hidden="false" customHeight="false" outlineLevel="0" collapsed="false">
      <c r="A16" s="2" t="s">
        <v>52</v>
      </c>
      <c r="B16" s="10" t="n">
        <v>74</v>
      </c>
      <c r="C16" s="10" t="n">
        <v>64</v>
      </c>
      <c r="D16" s="10" t="n">
        <v>102</v>
      </c>
      <c r="E16" s="10" t="n">
        <v>205</v>
      </c>
      <c r="F16" s="10" t="n">
        <v>272</v>
      </c>
      <c r="G16" s="10" t="n">
        <v>147</v>
      </c>
      <c r="H16" s="11" t="n">
        <f aca="false">SUM(B16:G16)</f>
        <v>864</v>
      </c>
      <c r="J16" s="7" t="n">
        <f aca="false">IF(B$33=0,0,B16/B$33)</f>
        <v>0.00201744820065431</v>
      </c>
      <c r="K16" s="7" t="n">
        <f aca="false">IF(C$33=0,0,C16/C$33)</f>
        <v>0.0039611313981556</v>
      </c>
      <c r="L16" s="7" t="n">
        <f aca="false">IF(D$33=0,0,D16/D$33)</f>
        <v>0.00506781934714563</v>
      </c>
      <c r="M16" s="7" t="n">
        <f aca="false">IF(E$33=0,0,E16/E$33)</f>
        <v>0.00516737245412382</v>
      </c>
      <c r="N16" s="7" t="n">
        <f aca="false">IF(F$33=0,0,F16/F$33)</f>
        <v>0.00792656272767012</v>
      </c>
      <c r="O16" s="7" t="n">
        <f aca="false">IF(G$33=0,0,G16/G$33)</f>
        <v>0.00481194147107925</v>
      </c>
      <c r="P16" s="7" t="n">
        <f aca="false">IF(H$33=0,0,H16/H$33)</f>
        <v>0.00486760563380282</v>
      </c>
    </row>
    <row r="17" customFormat="false" ht="15" hidden="false" customHeight="false" outlineLevel="0" collapsed="false">
      <c r="A17" s="2" t="s">
        <v>53</v>
      </c>
      <c r="B17" s="10" t="n">
        <v>252</v>
      </c>
      <c r="C17" s="10" t="n">
        <v>67</v>
      </c>
      <c r="D17" s="10" t="n">
        <v>44</v>
      </c>
      <c r="E17" s="10" t="n">
        <v>80</v>
      </c>
      <c r="F17" s="10" t="n">
        <v>76</v>
      </c>
      <c r="G17" s="10" t="n">
        <v>10</v>
      </c>
      <c r="H17" s="11" t="n">
        <f aca="false">SUM(B17:G17)</f>
        <v>529</v>
      </c>
      <c r="J17" s="7" t="n">
        <f aca="false">IF(B$33=0,0,B17/B$33)</f>
        <v>0.00687022900763359</v>
      </c>
      <c r="K17" s="7" t="n">
        <f aca="false">IF(C$33=0,0,C17/C$33)</f>
        <v>0.00414680943244414</v>
      </c>
      <c r="L17" s="7" t="n">
        <f aca="false">IF(D$33=0,0,D17/D$33)</f>
        <v>0.00218611814974909</v>
      </c>
      <c r="M17" s="7" t="n">
        <f aca="false">IF(E$33=0,0,E17/E$33)</f>
        <v>0.0020165355918532</v>
      </c>
      <c r="N17" s="7" t="n">
        <f aca="false">IF(F$33=0,0,F17/F$33)</f>
        <v>0.00221477487979018</v>
      </c>
      <c r="O17" s="7" t="n">
        <f aca="false">IF(G$33=0,0,G17/G$33)</f>
        <v>0.000327342957216276</v>
      </c>
      <c r="P17" s="7" t="n">
        <f aca="false">IF(H$33=0,0,H17/H$33)</f>
        <v>0.00298028169014085</v>
      </c>
    </row>
    <row r="18" customFormat="false" ht="15" hidden="false" customHeight="false" outlineLevel="0" collapsed="false">
      <c r="A18" s="6" t="s">
        <v>54</v>
      </c>
      <c r="B18" s="9" t="n">
        <f aca="false">SUM(B19:B22)</f>
        <v>2854</v>
      </c>
      <c r="C18" s="9" t="n">
        <f aca="false">SUM(C19:C22)</f>
        <v>831</v>
      </c>
      <c r="D18" s="9" t="n">
        <f aca="false">SUM(D19:D22)</f>
        <v>665</v>
      </c>
      <c r="E18" s="9" t="n">
        <f aca="false">SUM(E19:E22)</f>
        <v>695</v>
      </c>
      <c r="F18" s="9" t="n">
        <f aca="false">SUM(F19:F22)</f>
        <v>416</v>
      </c>
      <c r="G18" s="9" t="n">
        <f aca="false">SUM(G19:G22)</f>
        <v>109</v>
      </c>
      <c r="H18" s="9" t="n">
        <f aca="false">SUM(B18:G18)</f>
        <v>5570</v>
      </c>
      <c r="J18" s="8" t="n">
        <f aca="false">IF(B$33=0,0,B18/B$33)</f>
        <v>0.0778080697928026</v>
      </c>
      <c r="K18" s="8" t="n">
        <f aca="false">IF(C$33=0,0,C18/C$33)</f>
        <v>0.0514328154979266</v>
      </c>
      <c r="L18" s="8" t="n">
        <f aca="false">IF(D$33=0,0,D18/D$33)</f>
        <v>0.0330401947632533</v>
      </c>
      <c r="M18" s="8" t="n">
        <f aca="false">IF(E$33=0,0,E18/E$33)</f>
        <v>0.0175186529542246</v>
      </c>
      <c r="N18" s="8" t="n">
        <f aca="false">IF(F$33=0,0,F18/F$33)</f>
        <v>0.0121229782893778</v>
      </c>
      <c r="O18" s="8" t="n">
        <f aca="false">IF(G$33=0,0,G18/G$33)</f>
        <v>0.0035680382336574</v>
      </c>
      <c r="P18" s="8" t="n">
        <f aca="false">IF(H$33=0,0,H18/H$33)</f>
        <v>0.0313802816901408</v>
      </c>
    </row>
    <row r="19" customFormat="false" ht="15" hidden="false" customHeight="false" outlineLevel="0" collapsed="false">
      <c r="A19" s="2" t="s">
        <v>55</v>
      </c>
      <c r="B19" s="10" t="n">
        <v>1248</v>
      </c>
      <c r="C19" s="10" t="n">
        <v>308</v>
      </c>
      <c r="D19" s="10" t="n">
        <v>224</v>
      </c>
      <c r="E19" s="10" t="n">
        <v>233</v>
      </c>
      <c r="F19" s="10" t="n">
        <v>155</v>
      </c>
      <c r="G19" s="10" t="n">
        <v>44</v>
      </c>
      <c r="H19" s="11" t="n">
        <f aca="false">SUM(B19:G19)</f>
        <v>2212</v>
      </c>
      <c r="J19" s="7" t="n">
        <f aca="false">IF(B$33=0,0,B19/B$33)</f>
        <v>0.0340239912758997</v>
      </c>
      <c r="K19" s="7" t="n">
        <f aca="false">IF(C$33=0,0,C19/C$33)</f>
        <v>0.0190629448536238</v>
      </c>
      <c r="L19" s="7" t="n">
        <f aca="false">IF(D$33=0,0,D19/D$33)</f>
        <v>0.011129328762359</v>
      </c>
      <c r="M19" s="7" t="n">
        <f aca="false">IF(E$33=0,0,E19/E$33)</f>
        <v>0.00587315991127243</v>
      </c>
      <c r="N19" s="7" t="n">
        <f aca="false">IF(F$33=0,0,F19/F$33)</f>
        <v>0.0045169750837826</v>
      </c>
      <c r="O19" s="7" t="n">
        <f aca="false">IF(G$33=0,0,G19/G$33)</f>
        <v>0.00144030901175161</v>
      </c>
      <c r="P19" s="7" t="n">
        <f aca="false">IF(H$33=0,0,H19/H$33)</f>
        <v>0.0124619718309859</v>
      </c>
    </row>
    <row r="20" customFormat="false" ht="15" hidden="false" customHeight="false" outlineLevel="0" collapsed="false">
      <c r="A20" s="2" t="s">
        <v>56</v>
      </c>
      <c r="B20" s="10" t="n">
        <v>398</v>
      </c>
      <c r="C20" s="10" t="n">
        <v>93</v>
      </c>
      <c r="D20" s="10" t="n">
        <v>55</v>
      </c>
      <c r="E20" s="10" t="n">
        <v>68</v>
      </c>
      <c r="F20" s="10" t="n">
        <v>48</v>
      </c>
      <c r="G20" s="10" t="n">
        <v>4</v>
      </c>
      <c r="H20" s="11" t="n">
        <f aca="false">SUM(B20:G20)</f>
        <v>666</v>
      </c>
      <c r="J20" s="7" t="n">
        <f aca="false">IF(B$33=0,0,B20/B$33)</f>
        <v>0.0108505997818975</v>
      </c>
      <c r="K20" s="7" t="n">
        <f aca="false">IF(C$33=0,0,C20/C$33)</f>
        <v>0.00575601906294485</v>
      </c>
      <c r="L20" s="7" t="n">
        <f aca="false">IF(D$33=0,0,D20/D$33)</f>
        <v>0.00273264768718637</v>
      </c>
      <c r="M20" s="7" t="n">
        <f aca="false">IF(E$33=0,0,E20/E$33)</f>
        <v>0.00171405525307522</v>
      </c>
      <c r="N20" s="7" t="n">
        <f aca="false">IF(F$33=0,0,F20/F$33)</f>
        <v>0.0013988051872359</v>
      </c>
      <c r="O20" s="7" t="n">
        <f aca="false">IF(G$33=0,0,G20/G$33)</f>
        <v>0.00013093718288651</v>
      </c>
      <c r="P20" s="7" t="n">
        <f aca="false">IF(H$33=0,0,H20/H$33)</f>
        <v>0.00375211267605634</v>
      </c>
    </row>
    <row r="21" customFormat="false" ht="15" hidden="false" customHeight="false" outlineLevel="0" collapsed="false">
      <c r="A21" s="2" t="s">
        <v>57</v>
      </c>
      <c r="B21" s="10" t="n">
        <v>574</v>
      </c>
      <c r="C21" s="10" t="n">
        <v>241</v>
      </c>
      <c r="D21" s="10" t="n">
        <v>230</v>
      </c>
      <c r="E21" s="10" t="n">
        <v>144</v>
      </c>
      <c r="F21" s="10" t="n">
        <v>86</v>
      </c>
      <c r="G21" s="10" t="n">
        <v>29</v>
      </c>
      <c r="H21" s="11" t="n">
        <f aca="false">SUM(B21:G21)</f>
        <v>1304</v>
      </c>
      <c r="J21" s="7" t="n">
        <f aca="false">IF(B$33=0,0,B21/B$33)</f>
        <v>0.0156488549618321</v>
      </c>
      <c r="K21" s="7" t="n">
        <f aca="false">IF(C$33=0,0,C21/C$33)</f>
        <v>0.0149161354211797</v>
      </c>
      <c r="L21" s="7" t="n">
        <f aca="false">IF(D$33=0,0,D21/D$33)</f>
        <v>0.0114274357827794</v>
      </c>
      <c r="M21" s="7" t="n">
        <f aca="false">IF(E$33=0,0,E21/E$33)</f>
        <v>0.00362976406533575</v>
      </c>
      <c r="N21" s="7" t="n">
        <f aca="false">IF(F$33=0,0,F21/F$33)</f>
        <v>0.00250619262713099</v>
      </c>
      <c r="O21" s="7" t="n">
        <f aca="false">IF(G$33=0,0,G21/G$33)</f>
        <v>0.000949294575927199</v>
      </c>
      <c r="P21" s="7" t="n">
        <f aca="false">IF(H$33=0,0,H21/H$33)</f>
        <v>0.00734647887323944</v>
      </c>
    </row>
    <row r="22" customFormat="false" ht="15" hidden="false" customHeight="false" outlineLevel="0" collapsed="false">
      <c r="A22" s="2" t="s">
        <v>58</v>
      </c>
      <c r="B22" s="11" t="n">
        <f aca="false">'Jewish adjustment'!C48</f>
        <v>634</v>
      </c>
      <c r="C22" s="11" t="n">
        <f aca="false">'Jewish adjustment'!D48</f>
        <v>189</v>
      </c>
      <c r="D22" s="11" t="n">
        <f aca="false">'Jewish adjustment'!E48</f>
        <v>156</v>
      </c>
      <c r="E22" s="11" t="n">
        <f aca="false">'Jewish adjustment'!F48</f>
        <v>250</v>
      </c>
      <c r="F22" s="11" t="n">
        <f aca="false">'Jewish adjustment'!G48</f>
        <v>127</v>
      </c>
      <c r="G22" s="11" t="n">
        <f aca="false">'Jewish adjustment'!H48</f>
        <v>32</v>
      </c>
      <c r="H22" s="11" t="n">
        <f aca="false">SUM(B22:G22)</f>
        <v>1388</v>
      </c>
      <c r="J22" s="7" t="n">
        <f aca="false">IF(B$33=0,0,B22/B$33)</f>
        <v>0.0172846237731734</v>
      </c>
      <c r="K22" s="7" t="n">
        <f aca="false">IF(C$33=0,0,C22/C$33)</f>
        <v>0.0116977161601783</v>
      </c>
      <c r="L22" s="7" t="n">
        <f aca="false">IF(D$33=0,0,D22/D$33)</f>
        <v>0.0077507825309286</v>
      </c>
      <c r="M22" s="7" t="n">
        <f aca="false">IF(E$33=0,0,E22/E$33)</f>
        <v>0.00630167372454124</v>
      </c>
      <c r="N22" s="7" t="n">
        <f aca="false">IF(F$33=0,0,F22/F$33)</f>
        <v>0.00370100539122833</v>
      </c>
      <c r="O22" s="7" t="n">
        <f aca="false">IF(G$33=0,0,G22/G$33)</f>
        <v>0.00104749746309208</v>
      </c>
      <c r="P22" s="7" t="n">
        <f aca="false">IF(H$33=0,0,H22/H$33)</f>
        <v>0.00781971830985916</v>
      </c>
    </row>
    <row r="23" customFormat="false" ht="15" hidden="false" customHeight="false" outlineLevel="0" collapsed="false">
      <c r="A23" s="6" t="s">
        <v>59</v>
      </c>
      <c r="B23" s="9" t="n">
        <f aca="false">SUM(B24:B28)</f>
        <v>25422</v>
      </c>
      <c r="C23" s="9" t="n">
        <f aca="false">SUM(C24:C28)</f>
        <v>12599</v>
      </c>
      <c r="D23" s="9" t="n">
        <f aca="false">SUM(D24:D28)</f>
        <v>16188</v>
      </c>
      <c r="E23" s="9" t="n">
        <f aca="false">SUM(E24:E28)</f>
        <v>28823</v>
      </c>
      <c r="F23" s="9" t="n">
        <f aca="false">SUM(F24:F28)</f>
        <v>30013</v>
      </c>
      <c r="G23" s="9" t="n">
        <f aca="false">SUM(G24:G28)</f>
        <v>28761</v>
      </c>
      <c r="H23" s="9" t="n">
        <f aca="false">SUM(B23:G23)</f>
        <v>141806</v>
      </c>
      <c r="J23" s="8" t="n">
        <f aca="false">IF(B$33=0,0,B23/B$33)</f>
        <v>0.693075245365322</v>
      </c>
      <c r="K23" s="8" t="n">
        <f aca="false">IF(C$33=0,0,C23/C$33)</f>
        <v>0.779785851333787</v>
      </c>
      <c r="L23" s="8" t="n">
        <f aca="false">IF(D$33=0,0,D23/D$33)</f>
        <v>0.804292741094053</v>
      </c>
      <c r="M23" s="8" t="n">
        <f aca="false">IF(E$33=0,0,E23/E$33)</f>
        <v>0.726532567049808</v>
      </c>
      <c r="N23" s="8" t="n">
        <f aca="false">IF(F$33=0,0,F23/F$33)</f>
        <v>0.874632085093982</v>
      </c>
      <c r="O23" s="8" t="n">
        <f aca="false">IF(G$33=0,0,G23/G$33)</f>
        <v>0.94147107924973</v>
      </c>
      <c r="P23" s="8" t="n">
        <f aca="false">IF(H$33=0,0,H23/H$33)</f>
        <v>0.798907042253521</v>
      </c>
    </row>
    <row r="24" customFormat="false" ht="15" hidden="false" customHeight="false" outlineLevel="0" collapsed="false">
      <c r="A24" s="2" t="s">
        <v>60</v>
      </c>
      <c r="B24" s="10" t="n">
        <v>23304</v>
      </c>
      <c r="C24" s="10" t="n">
        <v>11661</v>
      </c>
      <c r="D24" s="10" t="n">
        <v>14302</v>
      </c>
      <c r="E24" s="10" t="n">
        <v>24221</v>
      </c>
      <c r="F24" s="10" t="n">
        <v>27965</v>
      </c>
      <c r="G24" s="10" t="n">
        <v>27634</v>
      </c>
      <c r="H24" s="11" t="n">
        <f aca="false">SUM(B24:G24)</f>
        <v>129087</v>
      </c>
      <c r="J24" s="7" t="n">
        <f aca="false">IF(B$33=0,0,B24/B$33)</f>
        <v>0.635332606324973</v>
      </c>
      <c r="K24" s="7" t="n">
        <f aca="false">IF(C$33=0,0,C24/C$33)</f>
        <v>0.721730519279569</v>
      </c>
      <c r="L24" s="7" t="n">
        <f aca="false">IF(D$33=0,0,D24/D$33)</f>
        <v>0.710587767675262</v>
      </c>
      <c r="M24" s="7" t="n">
        <f aca="false">IF(E$33=0,0,E24/E$33)</f>
        <v>0.610531357128453</v>
      </c>
      <c r="N24" s="7" t="n">
        <f aca="false">IF(F$33=0,0,F24/F$33)</f>
        <v>0.814949730438584</v>
      </c>
      <c r="O24" s="7" t="n">
        <f aca="false">IF(G$33=0,0,G24/G$33)</f>
        <v>0.904579527971456</v>
      </c>
      <c r="P24" s="7" t="n">
        <f aca="false">IF(H$33=0,0,H24/H$33)</f>
        <v>0.727250704225352</v>
      </c>
    </row>
    <row r="25" customFormat="false" ht="15" hidden="false" customHeight="false" outlineLevel="0" collapsed="false">
      <c r="A25" s="2" t="s">
        <v>61</v>
      </c>
      <c r="B25" s="10" t="n">
        <v>105</v>
      </c>
      <c r="C25" s="10" t="n">
        <v>80</v>
      </c>
      <c r="D25" s="10" t="n">
        <v>122</v>
      </c>
      <c r="E25" s="10" t="n">
        <v>347</v>
      </c>
      <c r="F25" s="10" t="n">
        <v>432</v>
      </c>
      <c r="G25" s="10" t="n">
        <v>418</v>
      </c>
      <c r="H25" s="11" t="n">
        <f aca="false">SUM(B25:G25)</f>
        <v>1504</v>
      </c>
      <c r="J25" s="7" t="n">
        <f aca="false">IF(B$33=0,0,B25/B$33)</f>
        <v>0.00286259541984733</v>
      </c>
      <c r="K25" s="7" t="n">
        <f aca="false">IF(C$33=0,0,C25/C$33)</f>
        <v>0.0049514142476945</v>
      </c>
      <c r="L25" s="7" t="n">
        <f aca="false">IF(D$33=0,0,D25/D$33)</f>
        <v>0.00606150941521339</v>
      </c>
      <c r="M25" s="7" t="n">
        <f aca="false">IF(E$33=0,0,E25/E$33)</f>
        <v>0.00874672312966324</v>
      </c>
      <c r="N25" s="7" t="n">
        <f aca="false">IF(F$33=0,0,F25/F$33)</f>
        <v>0.0125892466851231</v>
      </c>
      <c r="O25" s="7" t="n">
        <f aca="false">IF(G$33=0,0,G25/G$33)</f>
        <v>0.0136829356116403</v>
      </c>
      <c r="P25" s="7" t="n">
        <f aca="false">IF(H$33=0,0,H25/H$33)</f>
        <v>0.00847323943661972</v>
      </c>
    </row>
    <row r="26" customFormat="false" ht="15" hidden="false" customHeight="false" outlineLevel="0" collapsed="false">
      <c r="A26" s="2" t="s">
        <v>62</v>
      </c>
      <c r="B26" s="10" t="n">
        <v>115</v>
      </c>
      <c r="C26" s="10" t="n">
        <v>47</v>
      </c>
      <c r="D26" s="10" t="n">
        <v>40</v>
      </c>
      <c r="E26" s="10" t="n">
        <v>54</v>
      </c>
      <c r="F26" s="10" t="n">
        <v>45</v>
      </c>
      <c r="G26" s="10" t="n">
        <v>28</v>
      </c>
      <c r="H26" s="11" t="n">
        <f aca="false">SUM(B26:G26)</f>
        <v>329</v>
      </c>
      <c r="J26" s="7" t="n">
        <f aca="false">IF(B$33=0,0,B26/B$33)</f>
        <v>0.00313522355507088</v>
      </c>
      <c r="K26" s="7" t="n">
        <f aca="false">IF(C$33=0,0,C26/C$33)</f>
        <v>0.00290895587052052</v>
      </c>
      <c r="L26" s="7" t="n">
        <f aca="false">IF(D$33=0,0,D26/D$33)</f>
        <v>0.00198738013613554</v>
      </c>
      <c r="M26" s="7" t="n">
        <f aca="false">IF(E$33=0,0,E26/E$33)</f>
        <v>0.00136116152450091</v>
      </c>
      <c r="N26" s="7" t="n">
        <f aca="false">IF(F$33=0,0,F26/F$33)</f>
        <v>0.00131137986303366</v>
      </c>
      <c r="O26" s="7" t="n">
        <f aca="false">IF(G$33=0,0,G26/G$33)</f>
        <v>0.000916560280205571</v>
      </c>
      <c r="P26" s="7" t="n">
        <f aca="false">IF(H$33=0,0,H26/H$33)</f>
        <v>0.00185352112676056</v>
      </c>
    </row>
    <row r="27" customFormat="false" ht="15" hidden="false" customHeight="false" outlineLevel="0" collapsed="false">
      <c r="A27" s="2" t="s">
        <v>63</v>
      </c>
      <c r="B27" s="10" t="n">
        <v>23</v>
      </c>
      <c r="C27" s="10" t="n">
        <v>17</v>
      </c>
      <c r="D27" s="10" t="n">
        <v>46</v>
      </c>
      <c r="E27" s="10" t="n">
        <v>67</v>
      </c>
      <c r="F27" s="10" t="n">
        <v>22</v>
      </c>
      <c r="G27" s="10" t="n">
        <v>7</v>
      </c>
      <c r="H27" s="11" t="n">
        <f aca="false">SUM(B27:G27)</f>
        <v>182</v>
      </c>
      <c r="J27" s="7" t="n">
        <f aca="false">IF(B$33=0,0,B27/B$33)</f>
        <v>0.000627044711014177</v>
      </c>
      <c r="K27" s="7" t="n">
        <f aca="false">IF(C$33=0,0,C27/C$33)</f>
        <v>0.00105217552763508</v>
      </c>
      <c r="L27" s="7" t="n">
        <f aca="false">IF(D$33=0,0,D27/D$33)</f>
        <v>0.00228548715655587</v>
      </c>
      <c r="M27" s="7" t="n">
        <f aca="false">IF(E$33=0,0,E27/E$33)</f>
        <v>0.00168884855817705</v>
      </c>
      <c r="N27" s="7" t="n">
        <f aca="false">IF(F$33=0,0,F27/F$33)</f>
        <v>0.000641119044149789</v>
      </c>
      <c r="O27" s="7" t="n">
        <f aca="false">IF(G$33=0,0,G27/G$33)</f>
        <v>0.000229140070051393</v>
      </c>
      <c r="P27" s="7" t="n">
        <f aca="false">IF(H$33=0,0,H27/H$33)</f>
        <v>0.00102535211267606</v>
      </c>
    </row>
    <row r="28" customFormat="false" ht="15" hidden="false" customHeight="false" outlineLevel="0" collapsed="false">
      <c r="A28" s="2" t="s">
        <v>64</v>
      </c>
      <c r="B28" s="11" t="n">
        <f aca="false">'Jewish adjustment'!C42</f>
        <v>1875</v>
      </c>
      <c r="C28" s="11" t="n">
        <f aca="false">'Jewish adjustment'!D42</f>
        <v>794</v>
      </c>
      <c r="D28" s="11" t="n">
        <f aca="false">'Jewish adjustment'!E42</f>
        <v>1678</v>
      </c>
      <c r="E28" s="11" t="n">
        <f aca="false">'Jewish adjustment'!F42</f>
        <v>4134</v>
      </c>
      <c r="F28" s="11" t="n">
        <f aca="false">'Jewish adjustment'!G42</f>
        <v>1549</v>
      </c>
      <c r="G28" s="11" t="n">
        <f aca="false">'Jewish adjustment'!H42</f>
        <v>674</v>
      </c>
      <c r="H28" s="11" t="n">
        <f aca="false">SUM(B28:G28)</f>
        <v>10704</v>
      </c>
      <c r="J28" s="7" t="n">
        <f aca="false">IF(B$33=0,0,B28/B$33)</f>
        <v>0.0511177753544166</v>
      </c>
      <c r="K28" s="7" t="n">
        <f aca="false">IF(C$33=0,0,C28/C$33)</f>
        <v>0.0491427864083679</v>
      </c>
      <c r="L28" s="7" t="n">
        <f aca="false">IF(D$33=0,0,D28/D$33)</f>
        <v>0.0833705967108859</v>
      </c>
      <c r="M28" s="7" t="n">
        <f aca="false">IF(E$33=0,0,E28/E$33)</f>
        <v>0.104204476709014</v>
      </c>
      <c r="N28" s="7" t="n">
        <f aca="false">IF(F$33=0,0,F28/F$33)</f>
        <v>0.0451406090630919</v>
      </c>
      <c r="O28" s="7" t="n">
        <f aca="false">IF(G$33=0,0,G28/G$33)</f>
        <v>0.022062915316377</v>
      </c>
      <c r="P28" s="7" t="n">
        <f aca="false">IF(H$33=0,0,H28/H$33)</f>
        <v>0.0603042253521127</v>
      </c>
    </row>
    <row r="29" customFormat="false" ht="15" hidden="false" customHeight="false" outlineLevel="0" collapsed="false">
      <c r="A29" s="6" t="s">
        <v>65</v>
      </c>
      <c r="B29" s="9" t="n">
        <f aca="false">SUM(B30:B31)</f>
        <v>756</v>
      </c>
      <c r="C29" s="9" t="n">
        <f aca="false">SUM(C30:C31)</f>
        <v>268</v>
      </c>
      <c r="D29" s="9" t="n">
        <f aca="false">SUM(D30:D31)</f>
        <v>349</v>
      </c>
      <c r="E29" s="9" t="n">
        <f aca="false">SUM(E30:E31)</f>
        <v>849</v>
      </c>
      <c r="F29" s="9" t="n">
        <f aca="false">SUM(F30:F31)</f>
        <v>416</v>
      </c>
      <c r="G29" s="9" t="n">
        <f aca="false">SUM(G30:G31)</f>
        <v>216</v>
      </c>
      <c r="H29" s="9" t="n">
        <f aca="false">SUM(B29:G29)</f>
        <v>2854</v>
      </c>
      <c r="J29" s="8" t="n">
        <f aca="false">IF(B$33=0,0,B29/B$33)</f>
        <v>0.0206106870229008</v>
      </c>
      <c r="K29" s="8" t="n">
        <f aca="false">IF(C$33=0,0,C29/C$33)</f>
        <v>0.0165872377297766</v>
      </c>
      <c r="L29" s="8" t="n">
        <f aca="false">IF(D$33=0,0,D29/D$33)</f>
        <v>0.0173398916877826</v>
      </c>
      <c r="M29" s="8" t="n">
        <f aca="false">IF(E$33=0,0,E29/E$33)</f>
        <v>0.021400483968542</v>
      </c>
      <c r="N29" s="8" t="n">
        <f aca="false">IF(F$33=0,0,F29/F$33)</f>
        <v>0.0121229782893778</v>
      </c>
      <c r="O29" s="8" t="n">
        <f aca="false">IF(G$33=0,0,G29/G$33)</f>
        <v>0.00707060787587155</v>
      </c>
      <c r="P29" s="8" t="n">
        <f aca="false">IF(H$33=0,0,H29/H$33)</f>
        <v>0.0160788732394366</v>
      </c>
    </row>
    <row r="30" customFormat="false" ht="15" hidden="false" customHeight="false" outlineLevel="0" collapsed="false">
      <c r="A30" s="2" t="s">
        <v>66</v>
      </c>
      <c r="B30" s="10" t="n">
        <v>318</v>
      </c>
      <c r="C30" s="10" t="n">
        <v>119</v>
      </c>
      <c r="D30" s="10" t="n">
        <v>123</v>
      </c>
      <c r="E30" s="10" t="n">
        <v>252</v>
      </c>
      <c r="F30" s="10" t="n">
        <v>103</v>
      </c>
      <c r="G30" s="10" t="n">
        <v>33</v>
      </c>
      <c r="H30" s="11" t="n">
        <f aca="false">SUM(B30:G30)</f>
        <v>948</v>
      </c>
      <c r="J30" s="7" t="n">
        <f aca="false">IF(B$33=0,0,B30/B$33)</f>
        <v>0.00866957470010905</v>
      </c>
      <c r="K30" s="7" t="n">
        <f aca="false">IF(C$33=0,0,C30/C$33)</f>
        <v>0.00736522869344557</v>
      </c>
      <c r="L30" s="7" t="n">
        <f aca="false">IF(D$33=0,0,D30/D$33)</f>
        <v>0.00611119391861678</v>
      </c>
      <c r="M30" s="7" t="n">
        <f aca="false">IF(E$33=0,0,E30/E$33)</f>
        <v>0.00635208711433757</v>
      </c>
      <c r="N30" s="7" t="n">
        <f aca="false">IF(F$33=0,0,F30/F$33)</f>
        <v>0.00300160279761037</v>
      </c>
      <c r="O30" s="7" t="n">
        <f aca="false">IF(G$33=0,0,G30/G$33)</f>
        <v>0.00108023175881371</v>
      </c>
      <c r="P30" s="7" t="n">
        <f aca="false">IF(H$33=0,0,H30/H$33)</f>
        <v>0.00534084507042254</v>
      </c>
    </row>
    <row r="31" customFormat="false" ht="15" hidden="false" customHeight="false" outlineLevel="0" collapsed="false">
      <c r="A31" s="2" t="s">
        <v>67</v>
      </c>
      <c r="B31" s="11" t="n">
        <f aca="false">'Jewish adjustment'!C45</f>
        <v>438</v>
      </c>
      <c r="C31" s="11" t="n">
        <f aca="false">'Jewish adjustment'!D45</f>
        <v>149</v>
      </c>
      <c r="D31" s="11" t="n">
        <f aca="false">'Jewish adjustment'!E45</f>
        <v>226</v>
      </c>
      <c r="E31" s="11" t="n">
        <f aca="false">'Jewish adjustment'!F45</f>
        <v>597</v>
      </c>
      <c r="F31" s="11" t="n">
        <f aca="false">'Jewish adjustment'!G45</f>
        <v>313</v>
      </c>
      <c r="G31" s="11" t="n">
        <f aca="false">'Jewish adjustment'!H45</f>
        <v>183</v>
      </c>
      <c r="H31" s="11" t="n">
        <f aca="false">SUM(B31:G31)</f>
        <v>1906</v>
      </c>
      <c r="J31" s="7" t="n">
        <f aca="false">IF(B$33=0,0,B31/B$33)</f>
        <v>0.0119411123227917</v>
      </c>
      <c r="K31" s="7" t="n">
        <f aca="false">IF(C$33=0,0,C31/C$33)</f>
        <v>0.009222009036331</v>
      </c>
      <c r="L31" s="7" t="n">
        <f aca="false">IF(D$33=0,0,D31/D$33)</f>
        <v>0.0112286977691658</v>
      </c>
      <c r="M31" s="7" t="n">
        <f aca="false">IF(E$33=0,0,E31/E$33)</f>
        <v>0.0150483968542045</v>
      </c>
      <c r="N31" s="7" t="n">
        <f aca="false">IF(F$33=0,0,F31/F$33)</f>
        <v>0.00912137549176745</v>
      </c>
      <c r="O31" s="7" t="n">
        <f aca="false">IF(G$33=0,0,G31/G$33)</f>
        <v>0.00599037611705784</v>
      </c>
      <c r="P31" s="7" t="n">
        <f aca="false">IF(H$33=0,0,H31/H$33)</f>
        <v>0.0107380281690141</v>
      </c>
    </row>
    <row r="32" customFormat="false" ht="15" hidden="false" customHeight="false" outlineLevel="0" collapsed="false">
      <c r="A32" s="6" t="s">
        <v>73</v>
      </c>
      <c r="B32" s="9" t="n">
        <f aca="false">'Jewish adjustment'!C49</f>
        <v>11</v>
      </c>
      <c r="C32" s="9" t="n">
        <f aca="false">'Jewish adjustment'!D49</f>
        <v>12</v>
      </c>
      <c r="D32" s="9" t="n">
        <f aca="false">'Jewish adjustment'!E49</f>
        <v>9</v>
      </c>
      <c r="E32" s="9" t="n">
        <f aca="false">'Jewish adjustment'!F49</f>
        <v>20</v>
      </c>
      <c r="F32" s="9" t="n">
        <f aca="false">'Jewish adjustment'!G49</f>
        <v>24</v>
      </c>
      <c r="G32" s="9" t="n">
        <f aca="false">'Jewish adjustment'!H49</f>
        <v>20</v>
      </c>
      <c r="H32" s="9" t="n">
        <f aca="false">SUM(B32:G32)</f>
        <v>96</v>
      </c>
      <c r="J32" s="8" t="n">
        <f aca="false">IF(B$33=0,0,B32/B$33)</f>
        <v>0.000299890948745911</v>
      </c>
      <c r="K32" s="8" t="n">
        <f aca="false">IF(C$33=0,0,C32/C$33)</f>
        <v>0.000742712137154175</v>
      </c>
      <c r="L32" s="8" t="n">
        <f aca="false">IF(D$33=0,0,D32/D$33)</f>
        <v>0.000447160530630496</v>
      </c>
      <c r="M32" s="8" t="n">
        <f aca="false">IF(E$33=0,0,E32/E$33)</f>
        <v>0.000504133897963299</v>
      </c>
      <c r="N32" s="8" t="n">
        <f aca="false">IF(F$33=0,0,F32/F$33)</f>
        <v>0.000699402593617951</v>
      </c>
      <c r="O32" s="8" t="n">
        <f aca="false">IF(G$33=0,0,G32/G$33)</f>
        <v>0.000654685914432551</v>
      </c>
      <c r="P32" s="8" t="n">
        <f aca="false">IF(H$33=0,0,H32/H$33)</f>
        <v>0.000540845070422535</v>
      </c>
    </row>
    <row r="33" customFormat="false" ht="15" hidden="false" customHeight="false" outlineLevel="0" collapsed="false">
      <c r="A33" s="12" t="s">
        <v>74</v>
      </c>
      <c r="B33" s="13" t="n">
        <f aca="false">B8+B14+B18+B23+B29+B32</f>
        <v>36680</v>
      </c>
      <c r="C33" s="13" t="n">
        <f aca="false">C8+C14+C18+C23+C29+C32</f>
        <v>16157</v>
      </c>
      <c r="D33" s="13" t="n">
        <f aca="false">D8+D14+D18+D23+D29+D32</f>
        <v>20127</v>
      </c>
      <c r="E33" s="13" t="n">
        <f aca="false">E8+E14+E18+E23+E29+E32</f>
        <v>39672</v>
      </c>
      <c r="F33" s="13" t="n">
        <f aca="false">F8+F14+F18+F23+F29+F32</f>
        <v>34315</v>
      </c>
      <c r="G33" s="13" t="n">
        <f aca="false">G8+G14+G18+G23+G29+G32</f>
        <v>30549</v>
      </c>
      <c r="H33" s="13" t="n">
        <f aca="false">SUM(B33:G33)</f>
        <v>177500</v>
      </c>
      <c r="J33" s="14" t="n">
        <f aca="false">IF(B$33=0,0,B33/B$33)</f>
        <v>1</v>
      </c>
      <c r="K33" s="14" t="n">
        <f aca="false">IF(C$33=0,0,C33/C$33)</f>
        <v>1</v>
      </c>
      <c r="L33" s="14" t="n">
        <f aca="false">IF(D$33=0,0,D33/D$33)</f>
        <v>1</v>
      </c>
      <c r="M33" s="14" t="n">
        <f aca="false">IF(E$33=0,0,E33/E$33)</f>
        <v>1</v>
      </c>
      <c r="N33" s="14" t="n">
        <f aca="false">IF(F$33=0,0,F33/F$33)</f>
        <v>1</v>
      </c>
      <c r="O33" s="14" t="n">
        <f aca="false">IF(G$33=0,0,G33/G$33)</f>
        <v>1</v>
      </c>
      <c r="P33" s="14" t="n">
        <f aca="false">IF(H$33=0,0,H33/H$33)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6"/>
    <col collapsed="false" customWidth="true" hidden="false" outlineLevel="0" max="11" min="3" style="0" width="11"/>
  </cols>
  <sheetData>
    <row r="1" customFormat="false" ht="15" hidden="false" customHeight="false" outlineLevel="0" collapsed="false">
      <c r="A1" s="1" t="s">
        <v>0</v>
      </c>
    </row>
    <row r="2" customFormat="false" ht="15" hidden="false" customHeight="false" outlineLevel="0" collapsed="false">
      <c r="A2" s="1" t="s">
        <v>77</v>
      </c>
    </row>
    <row r="3" customFormat="false" ht="15" hidden="false" customHeight="false" outlineLevel="0" collapsed="false">
      <c r="A3" s="2" t="s">
        <v>2</v>
      </c>
    </row>
    <row r="4" customFormat="false" ht="15" hidden="false" customHeight="false" outlineLevel="0" collapsed="false">
      <c r="A4" s="2" t="s">
        <v>78</v>
      </c>
    </row>
    <row r="6" customFormat="false" ht="15" hidden="false" customHeight="false" outlineLevel="0" collapsed="false">
      <c r="A6" s="6" t="s">
        <v>79</v>
      </c>
    </row>
    <row r="7" customFormat="false" ht="15" hidden="false" customHeight="false" outlineLevel="0" collapsed="false">
      <c r="A7" s="3"/>
      <c r="B7" s="3"/>
      <c r="C7" s="3" t="s">
        <v>35</v>
      </c>
      <c r="D7" s="3" t="s">
        <v>36</v>
      </c>
      <c r="E7" s="3" t="s">
        <v>37</v>
      </c>
      <c r="F7" s="3" t="s">
        <v>38</v>
      </c>
      <c r="G7" s="3" t="s">
        <v>39</v>
      </c>
      <c r="H7" s="3" t="s">
        <v>40</v>
      </c>
      <c r="I7" s="3" t="s">
        <v>41</v>
      </c>
    </row>
    <row r="8" customFormat="false" ht="15" hidden="false" customHeight="false" outlineLevel="0" collapsed="false">
      <c r="A8" s="2" t="s">
        <v>80</v>
      </c>
      <c r="C8" s="15" t="n">
        <v>536</v>
      </c>
      <c r="D8" s="15" t="n">
        <v>579</v>
      </c>
      <c r="E8" s="15" t="n">
        <v>460</v>
      </c>
      <c r="F8" s="15" t="n">
        <v>1020</v>
      </c>
      <c r="G8" s="15" t="n">
        <v>1155</v>
      </c>
      <c r="H8" s="15" t="n">
        <v>1005</v>
      </c>
      <c r="I8" s="16" t="n">
        <f aca="false">SUM(C8:H8)</f>
        <v>4755</v>
      </c>
    </row>
    <row r="9" customFormat="false" ht="15" hidden="false" customHeight="false" outlineLevel="0" collapsed="false">
      <c r="A9" s="2" t="s">
        <v>81</v>
      </c>
      <c r="C9" s="17" t="n">
        <f aca="false">C8/$I$8</f>
        <v>0.112723449001052</v>
      </c>
      <c r="D9" s="17" t="n">
        <f aca="false">D8/$I$8</f>
        <v>0.121766561514196</v>
      </c>
      <c r="E9" s="17" t="n">
        <f aca="false">E8/$I$8</f>
        <v>0.0967402733964248</v>
      </c>
      <c r="F9" s="17" t="n">
        <f aca="false">F8/$I$8</f>
        <v>0.214511041009464</v>
      </c>
      <c r="G9" s="17" t="n">
        <f aca="false">G8/$I$8</f>
        <v>0.242902208201893</v>
      </c>
      <c r="H9" s="17" t="n">
        <f aca="false">H8/$I$8</f>
        <v>0.211356466876972</v>
      </c>
      <c r="I9" s="17" t="n">
        <f aca="false">I8/$I$8</f>
        <v>1</v>
      </c>
    </row>
    <row r="10" customFormat="false" ht="15" hidden="false" customHeight="false" outlineLevel="0" collapsed="false">
      <c r="A10" s="18" t="s">
        <v>82</v>
      </c>
    </row>
    <row r="12" customFormat="false" ht="15" hidden="false" customHeight="false" outlineLevel="0" collapsed="false">
      <c r="A12" s="6" t="s">
        <v>32</v>
      </c>
    </row>
    <row r="13" customFormat="false" ht="23.85" hidden="false" customHeight="false" outlineLevel="0" collapsed="false">
      <c r="A13" s="3" t="s">
        <v>83</v>
      </c>
      <c r="B13" s="3" t="s">
        <v>84</v>
      </c>
      <c r="C13" s="3" t="s">
        <v>35</v>
      </c>
      <c r="D13" s="3" t="s">
        <v>36</v>
      </c>
      <c r="E13" s="3" t="s">
        <v>37</v>
      </c>
      <c r="F13" s="3" t="s">
        <v>38</v>
      </c>
      <c r="G13" s="3" t="s">
        <v>39</v>
      </c>
      <c r="H13" s="3" t="s">
        <v>40</v>
      </c>
      <c r="I13" s="3" t="s">
        <v>41</v>
      </c>
      <c r="J13" s="3" t="s">
        <v>85</v>
      </c>
      <c r="K13" s="3" t="s">
        <v>86</v>
      </c>
    </row>
    <row r="14" customFormat="false" ht="15" hidden="false" customHeight="false" outlineLevel="0" collapsed="false">
      <c r="A14" s="2" t="s">
        <v>87</v>
      </c>
      <c r="B14" s="2" t="s">
        <v>88</v>
      </c>
      <c r="C14" s="10" t="n">
        <v>1238</v>
      </c>
      <c r="D14" s="10" t="n">
        <v>554</v>
      </c>
      <c r="E14" s="10" t="n">
        <v>1572</v>
      </c>
      <c r="F14" s="10" t="n">
        <v>3102</v>
      </c>
      <c r="G14" s="10" t="n">
        <v>1320</v>
      </c>
      <c r="H14" s="10" t="n">
        <v>593</v>
      </c>
      <c r="I14" s="11" t="n">
        <f aca="false">SUM(C14:H14)</f>
        <v>8379</v>
      </c>
    </row>
    <row r="15" customFormat="false" ht="15" hidden="false" customHeight="false" outlineLevel="0" collapsed="false">
      <c r="B15" s="2" t="s">
        <v>89</v>
      </c>
      <c r="C15" s="10" t="n">
        <v>4</v>
      </c>
      <c r="D15" s="10" t="n">
        <v>4</v>
      </c>
      <c r="E15" s="10" t="n">
        <v>4</v>
      </c>
      <c r="F15" s="10" t="n">
        <v>8</v>
      </c>
      <c r="G15" s="10" t="n">
        <v>9</v>
      </c>
      <c r="H15" s="10" t="n">
        <v>8</v>
      </c>
      <c r="I15" s="11" t="n">
        <f aca="false">SUM(C15:H15)</f>
        <v>37</v>
      </c>
      <c r="J15" s="10" t="n">
        <v>37</v>
      </c>
      <c r="K15" s="0" t="str">
        <f aca="false">IF(I15=J15,"OK","CHECK")</f>
        <v>OK</v>
      </c>
    </row>
    <row r="16" customFormat="false" ht="15" hidden="false" customHeight="false" outlineLevel="0" collapsed="false">
      <c r="B16" s="6" t="s">
        <v>90</v>
      </c>
      <c r="C16" s="9" t="n">
        <f aca="false">C14-C15</f>
        <v>1234</v>
      </c>
      <c r="D16" s="9" t="n">
        <f aca="false">D14-D15</f>
        <v>550</v>
      </c>
      <c r="E16" s="9" t="n">
        <f aca="false">E14-E15</f>
        <v>1568</v>
      </c>
      <c r="F16" s="9" t="n">
        <f aca="false">F14-F15</f>
        <v>3094</v>
      </c>
      <c r="G16" s="9" t="n">
        <f aca="false">G14-G15</f>
        <v>1311</v>
      </c>
      <c r="H16" s="9" t="n">
        <f aca="false">H14-H15</f>
        <v>585</v>
      </c>
      <c r="I16" s="9" t="n">
        <f aca="false">SUM(C16:H16)</f>
        <v>8342</v>
      </c>
    </row>
    <row r="17" customFormat="false" ht="15" hidden="false" customHeight="false" outlineLevel="0" collapsed="false">
      <c r="A17" s="2" t="s">
        <v>91</v>
      </c>
      <c r="B17" s="2" t="s">
        <v>88</v>
      </c>
      <c r="C17" s="10" t="n">
        <v>178</v>
      </c>
      <c r="D17" s="10" t="n">
        <v>70</v>
      </c>
      <c r="E17" s="10" t="n">
        <v>150</v>
      </c>
      <c r="F17" s="10" t="n">
        <v>281</v>
      </c>
      <c r="G17" s="10" t="n">
        <v>141</v>
      </c>
      <c r="H17" s="10" t="n">
        <v>87</v>
      </c>
      <c r="I17" s="11" t="n">
        <f aca="false">SUM(C17:H17)</f>
        <v>907</v>
      </c>
    </row>
    <row r="18" customFormat="false" ht="15" hidden="false" customHeight="false" outlineLevel="0" collapsed="false">
      <c r="B18" s="2" t="s">
        <v>89</v>
      </c>
      <c r="C18" s="10" t="n">
        <v>2</v>
      </c>
      <c r="D18" s="10" t="n">
        <v>2</v>
      </c>
      <c r="E18" s="10" t="n">
        <v>2</v>
      </c>
      <c r="F18" s="10" t="n">
        <v>4</v>
      </c>
      <c r="G18" s="10" t="n">
        <v>4</v>
      </c>
      <c r="H18" s="10" t="n">
        <v>4</v>
      </c>
      <c r="I18" s="11" t="n">
        <f aca="false">SUM(C18:H18)</f>
        <v>18</v>
      </c>
      <c r="J18" s="10" t="n">
        <v>18</v>
      </c>
      <c r="K18" s="0" t="str">
        <f aca="false">IF(I18=J18,"OK","CHECK")</f>
        <v>OK</v>
      </c>
    </row>
    <row r="19" customFormat="false" ht="15" hidden="false" customHeight="false" outlineLevel="0" collapsed="false">
      <c r="B19" s="6" t="s">
        <v>90</v>
      </c>
      <c r="C19" s="9" t="n">
        <f aca="false">C17-C18</f>
        <v>176</v>
      </c>
      <c r="D19" s="9" t="n">
        <f aca="false">D17-D18</f>
        <v>68</v>
      </c>
      <c r="E19" s="9" t="n">
        <f aca="false">E17-E18</f>
        <v>148</v>
      </c>
      <c r="F19" s="9" t="n">
        <f aca="false">F17-F18</f>
        <v>277</v>
      </c>
      <c r="G19" s="9" t="n">
        <f aca="false">G17-G18</f>
        <v>137</v>
      </c>
      <c r="H19" s="9" t="n">
        <f aca="false">H17-H18</f>
        <v>83</v>
      </c>
      <c r="I19" s="9" t="n">
        <f aca="false">SUM(C19:H19)</f>
        <v>889</v>
      </c>
    </row>
    <row r="20" customFormat="false" ht="15" hidden="false" customHeight="false" outlineLevel="0" collapsed="false">
      <c r="A20" s="2" t="s">
        <v>92</v>
      </c>
      <c r="B20" s="2" t="s">
        <v>88</v>
      </c>
      <c r="C20" s="10" t="n">
        <v>402</v>
      </c>
      <c r="D20" s="10" t="n">
        <v>136</v>
      </c>
      <c r="E20" s="10" t="n">
        <v>124</v>
      </c>
      <c r="F20" s="10" t="n">
        <v>214</v>
      </c>
      <c r="G20" s="10" t="n">
        <v>115</v>
      </c>
      <c r="H20" s="10" t="n">
        <v>35</v>
      </c>
      <c r="I20" s="11" t="n">
        <f aca="false">SUM(C20:H20)</f>
        <v>1026</v>
      </c>
    </row>
    <row r="21" customFormat="false" ht="15" hidden="false" customHeight="false" outlineLevel="0" collapsed="false">
      <c r="B21" s="2" t="s">
        <v>89</v>
      </c>
      <c r="C21" s="10" t="n">
        <v>0</v>
      </c>
      <c r="D21" s="10" t="n">
        <v>0</v>
      </c>
      <c r="E21" s="10" t="n">
        <v>0</v>
      </c>
      <c r="F21" s="10" t="n">
        <v>1</v>
      </c>
      <c r="G21" s="10" t="n">
        <v>1</v>
      </c>
      <c r="H21" s="10" t="n">
        <v>1</v>
      </c>
      <c r="I21" s="11" t="n">
        <f aca="false">SUM(C21:H21)</f>
        <v>3</v>
      </c>
      <c r="J21" s="10" t="n">
        <v>3</v>
      </c>
      <c r="K21" s="0" t="str">
        <f aca="false">IF(I21=J21,"OK","CHECK")</f>
        <v>OK</v>
      </c>
    </row>
    <row r="22" customFormat="false" ht="15" hidden="false" customHeight="false" outlineLevel="0" collapsed="false">
      <c r="B22" s="6" t="s">
        <v>90</v>
      </c>
      <c r="C22" s="9" t="n">
        <f aca="false">C20-C21</f>
        <v>402</v>
      </c>
      <c r="D22" s="9" t="n">
        <f aca="false">D20-D21</f>
        <v>136</v>
      </c>
      <c r="E22" s="9" t="n">
        <f aca="false">E20-E21</f>
        <v>124</v>
      </c>
      <c r="F22" s="9" t="n">
        <f aca="false">F20-F21</f>
        <v>213</v>
      </c>
      <c r="G22" s="9" t="n">
        <f aca="false">G20-G21</f>
        <v>114</v>
      </c>
      <c r="H22" s="9" t="n">
        <f aca="false">H20-H21</f>
        <v>34</v>
      </c>
      <c r="I22" s="9" t="n">
        <f aca="false">SUM(C22:H22)</f>
        <v>1023</v>
      </c>
    </row>
    <row r="23" customFormat="false" ht="15" hidden="false" customHeight="false" outlineLevel="0" collapsed="false">
      <c r="A23" s="6" t="s">
        <v>68</v>
      </c>
      <c r="B23" s="6" t="s">
        <v>93</v>
      </c>
      <c r="C23" s="9" t="n">
        <f aca="false">C15+C18+C21</f>
        <v>6</v>
      </c>
      <c r="D23" s="9" t="n">
        <f aca="false">D15+D18+D21</f>
        <v>6</v>
      </c>
      <c r="E23" s="9" t="n">
        <f aca="false">E15+E18+E21</f>
        <v>6</v>
      </c>
      <c r="F23" s="9" t="n">
        <f aca="false">F15+F18+F21</f>
        <v>13</v>
      </c>
      <c r="G23" s="9" t="n">
        <f aca="false">G15+G18+G21</f>
        <v>14</v>
      </c>
      <c r="H23" s="9" t="n">
        <f aca="false">H15+H18+H21</f>
        <v>13</v>
      </c>
      <c r="I23" s="9" t="n">
        <f aca="false">I15+I18+I21</f>
        <v>58</v>
      </c>
    </row>
    <row r="25" customFormat="false" ht="15" hidden="false" customHeight="false" outlineLevel="0" collapsed="false">
      <c r="A25" s="6" t="s">
        <v>33</v>
      </c>
    </row>
    <row r="26" customFormat="false" ht="23.85" hidden="false" customHeight="false" outlineLevel="0" collapsed="false">
      <c r="A26" s="3" t="s">
        <v>83</v>
      </c>
      <c r="B26" s="3" t="s">
        <v>84</v>
      </c>
      <c r="C26" s="3" t="s">
        <v>35</v>
      </c>
      <c r="D26" s="3" t="s">
        <v>36</v>
      </c>
      <c r="E26" s="3" t="s">
        <v>37</v>
      </c>
      <c r="F26" s="3" t="s">
        <v>38</v>
      </c>
      <c r="G26" s="3" t="s">
        <v>39</v>
      </c>
      <c r="H26" s="3" t="s">
        <v>40</v>
      </c>
      <c r="I26" s="3" t="s">
        <v>41</v>
      </c>
      <c r="J26" s="3" t="s">
        <v>85</v>
      </c>
      <c r="K26" s="3" t="s">
        <v>86</v>
      </c>
    </row>
    <row r="27" customFormat="false" ht="15" hidden="false" customHeight="false" outlineLevel="0" collapsed="false">
      <c r="A27" s="2" t="s">
        <v>87</v>
      </c>
      <c r="B27" s="2" t="s">
        <v>88</v>
      </c>
      <c r="C27" s="10" t="n">
        <v>2930</v>
      </c>
      <c r="D27" s="10" t="n">
        <v>2344</v>
      </c>
      <c r="E27" s="10" t="n">
        <v>5827</v>
      </c>
      <c r="F27" s="10" t="n">
        <v>6977</v>
      </c>
      <c r="G27" s="10" t="n">
        <v>2157</v>
      </c>
      <c r="H27" s="10" t="n">
        <v>764</v>
      </c>
      <c r="I27" s="11" t="n">
        <f aca="false">SUM(C27:H27)</f>
        <v>20999</v>
      </c>
    </row>
    <row r="28" customFormat="false" ht="15" hidden="false" customHeight="false" outlineLevel="0" collapsed="false">
      <c r="B28" s="2" t="s">
        <v>89</v>
      </c>
      <c r="C28" s="10" t="n">
        <v>5</v>
      </c>
      <c r="D28" s="10" t="n">
        <v>5</v>
      </c>
      <c r="E28" s="10" t="n">
        <v>4</v>
      </c>
      <c r="F28" s="10" t="n">
        <v>9</v>
      </c>
      <c r="G28" s="10" t="n">
        <v>11</v>
      </c>
      <c r="H28" s="10" t="n">
        <v>9</v>
      </c>
      <c r="I28" s="11" t="n">
        <f aca="false">SUM(C28:H28)</f>
        <v>43</v>
      </c>
      <c r="J28" s="10" t="n">
        <v>43</v>
      </c>
      <c r="K28" s="0" t="str">
        <f aca="false">IF(I28=J28,"OK","CHECK")</f>
        <v>OK</v>
      </c>
    </row>
    <row r="29" customFormat="false" ht="15" hidden="false" customHeight="false" outlineLevel="0" collapsed="false">
      <c r="B29" s="6" t="s">
        <v>90</v>
      </c>
      <c r="C29" s="9" t="n">
        <f aca="false">C27-C28</f>
        <v>2925</v>
      </c>
      <c r="D29" s="9" t="n">
        <f aca="false">D27-D28</f>
        <v>2339</v>
      </c>
      <c r="E29" s="9" t="n">
        <f aca="false">E27-E28</f>
        <v>5823</v>
      </c>
      <c r="F29" s="9" t="n">
        <f aca="false">F27-F28</f>
        <v>6968</v>
      </c>
      <c r="G29" s="9" t="n">
        <f aca="false">G27-G28</f>
        <v>2146</v>
      </c>
      <c r="H29" s="9" t="n">
        <f aca="false">H27-H28</f>
        <v>755</v>
      </c>
      <c r="I29" s="9" t="n">
        <f aca="false">SUM(C29:H29)</f>
        <v>20956</v>
      </c>
    </row>
    <row r="30" customFormat="false" ht="15" hidden="false" customHeight="false" outlineLevel="0" collapsed="false">
      <c r="A30" s="2" t="s">
        <v>91</v>
      </c>
      <c r="B30" s="2" t="s">
        <v>88</v>
      </c>
      <c r="C30" s="10" t="n">
        <v>606</v>
      </c>
      <c r="D30" s="10" t="n">
        <v>477</v>
      </c>
      <c r="E30" s="10" t="n">
        <v>777</v>
      </c>
      <c r="F30" s="10" t="n">
        <v>1007</v>
      </c>
      <c r="G30" s="10" t="n">
        <v>506</v>
      </c>
      <c r="H30" s="10" t="n">
        <v>347</v>
      </c>
      <c r="I30" s="11" t="n">
        <f aca="false">SUM(C30:H30)</f>
        <v>3720</v>
      </c>
    </row>
    <row r="31" customFormat="false" ht="15" hidden="false" customHeight="false" outlineLevel="0" collapsed="false">
      <c r="B31" s="2" t="s">
        <v>89</v>
      </c>
      <c r="C31" s="10" t="n">
        <v>6</v>
      </c>
      <c r="D31" s="10" t="n">
        <v>7</v>
      </c>
      <c r="E31" s="10" t="n">
        <v>5</v>
      </c>
      <c r="F31" s="10" t="n">
        <v>11</v>
      </c>
      <c r="G31" s="10" t="n">
        <v>13</v>
      </c>
      <c r="H31" s="10" t="n">
        <v>11</v>
      </c>
      <c r="I31" s="11" t="n">
        <f aca="false">SUM(C31:H31)</f>
        <v>53</v>
      </c>
      <c r="J31" s="10" t="n">
        <v>53</v>
      </c>
      <c r="K31" s="0" t="str">
        <f aca="false">IF(I31=J31,"OK","CHECK")</f>
        <v>OK</v>
      </c>
    </row>
    <row r="32" customFormat="false" ht="15" hidden="false" customHeight="false" outlineLevel="0" collapsed="false">
      <c r="B32" s="6" t="s">
        <v>90</v>
      </c>
      <c r="C32" s="9" t="n">
        <f aca="false">C30-C31</f>
        <v>600</v>
      </c>
      <c r="D32" s="9" t="n">
        <f aca="false">D30-D31</f>
        <v>470</v>
      </c>
      <c r="E32" s="9" t="n">
        <f aca="false">E30-E31</f>
        <v>772</v>
      </c>
      <c r="F32" s="9" t="n">
        <f aca="false">F30-F31</f>
        <v>996</v>
      </c>
      <c r="G32" s="9" t="n">
        <f aca="false">G30-G31</f>
        <v>493</v>
      </c>
      <c r="H32" s="9" t="n">
        <f aca="false">H30-H31</f>
        <v>336</v>
      </c>
      <c r="I32" s="9" t="n">
        <f aca="false">SUM(C32:H32)</f>
        <v>3667</v>
      </c>
    </row>
    <row r="33" customFormat="false" ht="15" hidden="false" customHeight="false" outlineLevel="0" collapsed="false">
      <c r="A33" s="2" t="s">
        <v>92</v>
      </c>
      <c r="B33" s="2" t="s">
        <v>88</v>
      </c>
      <c r="C33" s="10" t="n">
        <v>789</v>
      </c>
      <c r="D33" s="10" t="n">
        <v>379</v>
      </c>
      <c r="E33" s="10" t="n">
        <v>315</v>
      </c>
      <c r="F33" s="10" t="n">
        <v>328</v>
      </c>
      <c r="G33" s="10" t="n">
        <v>163</v>
      </c>
      <c r="H33" s="10" t="n">
        <v>67</v>
      </c>
      <c r="I33" s="11" t="n">
        <f aca="false">SUM(C33:H33)</f>
        <v>2041</v>
      </c>
    </row>
    <row r="34" customFormat="false" ht="15" hidden="false" customHeight="false" outlineLevel="0" collapsed="false">
      <c r="B34" s="2" t="s">
        <v>89</v>
      </c>
      <c r="C34" s="10" t="n">
        <v>1</v>
      </c>
      <c r="D34" s="10" t="n">
        <v>1</v>
      </c>
      <c r="E34" s="10" t="n">
        <v>1</v>
      </c>
      <c r="F34" s="10" t="n">
        <v>2</v>
      </c>
      <c r="G34" s="10" t="n">
        <v>2</v>
      </c>
      <c r="H34" s="10" t="n">
        <v>1</v>
      </c>
      <c r="I34" s="11" t="n">
        <f aca="false">SUM(C34:H34)</f>
        <v>8</v>
      </c>
      <c r="J34" s="10" t="n">
        <v>8</v>
      </c>
      <c r="K34" s="0" t="str">
        <f aca="false">IF(I34=J34,"OK","CHECK")</f>
        <v>OK</v>
      </c>
    </row>
    <row r="35" customFormat="false" ht="15" hidden="false" customHeight="false" outlineLevel="0" collapsed="false">
      <c r="B35" s="6" t="s">
        <v>90</v>
      </c>
      <c r="C35" s="9" t="n">
        <f aca="false">C33-C34</f>
        <v>788</v>
      </c>
      <c r="D35" s="9" t="n">
        <f aca="false">D33-D34</f>
        <v>378</v>
      </c>
      <c r="E35" s="9" t="n">
        <f aca="false">E33-E34</f>
        <v>314</v>
      </c>
      <c r="F35" s="9" t="n">
        <f aca="false">F33-F34</f>
        <v>326</v>
      </c>
      <c r="G35" s="9" t="n">
        <f aca="false">G33-G34</f>
        <v>161</v>
      </c>
      <c r="H35" s="9" t="n">
        <f aca="false">H33-H34</f>
        <v>66</v>
      </c>
      <c r="I35" s="9" t="n">
        <f aca="false">SUM(C35:H35)</f>
        <v>2033</v>
      </c>
    </row>
    <row r="36" customFormat="false" ht="15" hidden="false" customHeight="false" outlineLevel="0" collapsed="false">
      <c r="A36" s="6" t="s">
        <v>68</v>
      </c>
      <c r="B36" s="6" t="s">
        <v>93</v>
      </c>
      <c r="C36" s="9" t="n">
        <f aca="false">C28+C31+C34</f>
        <v>12</v>
      </c>
      <c r="D36" s="9" t="n">
        <f aca="false">D28+D31+D34</f>
        <v>13</v>
      </c>
      <c r="E36" s="9" t="n">
        <f aca="false">E28+E31+E34</f>
        <v>10</v>
      </c>
      <c r="F36" s="9" t="n">
        <f aca="false">F28+F31+F34</f>
        <v>22</v>
      </c>
      <c r="G36" s="9" t="n">
        <f aca="false">G28+G31+G34</f>
        <v>26</v>
      </c>
      <c r="H36" s="9" t="n">
        <f aca="false">H28+H31+H34</f>
        <v>21</v>
      </c>
      <c r="I36" s="9" t="n">
        <f aca="false">I28+I31+I34</f>
        <v>104</v>
      </c>
    </row>
    <row r="38" customFormat="false" ht="15" hidden="false" customHeight="false" outlineLevel="0" collapsed="false">
      <c r="A38" s="6" t="s">
        <v>34</v>
      </c>
    </row>
    <row r="39" customFormat="false" ht="23.85" hidden="false" customHeight="false" outlineLevel="0" collapsed="false">
      <c r="A39" s="3" t="s">
        <v>83</v>
      </c>
      <c r="B39" s="3" t="s">
        <v>84</v>
      </c>
      <c r="C39" s="3" t="s">
        <v>35</v>
      </c>
      <c r="D39" s="3" t="s">
        <v>36</v>
      </c>
      <c r="E39" s="3" t="s">
        <v>37</v>
      </c>
      <c r="F39" s="3" t="s">
        <v>38</v>
      </c>
      <c r="G39" s="3" t="s">
        <v>39</v>
      </c>
      <c r="H39" s="3" t="s">
        <v>40</v>
      </c>
      <c r="I39" s="3" t="s">
        <v>41</v>
      </c>
      <c r="J39" s="3" t="s">
        <v>85</v>
      </c>
      <c r="K39" s="3" t="s">
        <v>86</v>
      </c>
    </row>
    <row r="40" customFormat="false" ht="15" hidden="false" customHeight="false" outlineLevel="0" collapsed="false">
      <c r="A40" s="2" t="s">
        <v>87</v>
      </c>
      <c r="B40" s="2" t="s">
        <v>88</v>
      </c>
      <c r="C40" s="10" t="n">
        <v>1880</v>
      </c>
      <c r="D40" s="10" t="n">
        <v>800</v>
      </c>
      <c r="E40" s="10" t="n">
        <v>1682</v>
      </c>
      <c r="F40" s="10" t="n">
        <v>4144</v>
      </c>
      <c r="G40" s="10" t="n">
        <v>1560</v>
      </c>
      <c r="H40" s="10" t="n">
        <v>684</v>
      </c>
      <c r="I40" s="11" t="n">
        <f aca="false">SUM(C40:H40)</f>
        <v>10750</v>
      </c>
    </row>
    <row r="41" customFormat="false" ht="15" hidden="false" customHeight="false" outlineLevel="0" collapsed="false">
      <c r="B41" s="2" t="s">
        <v>89</v>
      </c>
      <c r="C41" s="10" t="n">
        <v>5</v>
      </c>
      <c r="D41" s="10" t="n">
        <v>6</v>
      </c>
      <c r="E41" s="10" t="n">
        <v>4</v>
      </c>
      <c r="F41" s="10" t="n">
        <v>10</v>
      </c>
      <c r="G41" s="10" t="n">
        <v>11</v>
      </c>
      <c r="H41" s="10" t="n">
        <v>10</v>
      </c>
      <c r="I41" s="11" t="n">
        <f aca="false">SUM(C41:H41)</f>
        <v>46</v>
      </c>
      <c r="J41" s="10" t="n">
        <v>46</v>
      </c>
      <c r="K41" s="0" t="str">
        <f aca="false">IF(I41=J41,"OK","CHECK")</f>
        <v>OK</v>
      </c>
    </row>
    <row r="42" customFormat="false" ht="15" hidden="false" customHeight="false" outlineLevel="0" collapsed="false">
      <c r="B42" s="6" t="s">
        <v>90</v>
      </c>
      <c r="C42" s="9" t="n">
        <f aca="false">C40-C41</f>
        <v>1875</v>
      </c>
      <c r="D42" s="9" t="n">
        <f aca="false">D40-D41</f>
        <v>794</v>
      </c>
      <c r="E42" s="9" t="n">
        <f aca="false">E40-E41</f>
        <v>1678</v>
      </c>
      <c r="F42" s="9" t="n">
        <f aca="false">F40-F41</f>
        <v>4134</v>
      </c>
      <c r="G42" s="9" t="n">
        <f aca="false">G40-G41</f>
        <v>1549</v>
      </c>
      <c r="H42" s="9" t="n">
        <f aca="false">H40-H41</f>
        <v>674</v>
      </c>
      <c r="I42" s="9" t="n">
        <f aca="false">SUM(C42:H42)</f>
        <v>10704</v>
      </c>
    </row>
    <row r="43" customFormat="false" ht="15" hidden="false" customHeight="false" outlineLevel="0" collapsed="false">
      <c r="A43" s="2" t="s">
        <v>91</v>
      </c>
      <c r="B43" s="2" t="s">
        <v>88</v>
      </c>
      <c r="C43" s="10" t="n">
        <v>444</v>
      </c>
      <c r="D43" s="10" t="n">
        <v>155</v>
      </c>
      <c r="E43" s="10" t="n">
        <v>231</v>
      </c>
      <c r="F43" s="10" t="n">
        <v>607</v>
      </c>
      <c r="G43" s="10" t="n">
        <v>325</v>
      </c>
      <c r="H43" s="10" t="n">
        <v>193</v>
      </c>
      <c r="I43" s="11" t="n">
        <f aca="false">SUM(C43:H43)</f>
        <v>1955</v>
      </c>
    </row>
    <row r="44" customFormat="false" ht="15" hidden="false" customHeight="false" outlineLevel="0" collapsed="false">
      <c r="B44" s="2" t="s">
        <v>89</v>
      </c>
      <c r="C44" s="10" t="n">
        <v>6</v>
      </c>
      <c r="D44" s="10" t="n">
        <v>6</v>
      </c>
      <c r="E44" s="10" t="n">
        <v>5</v>
      </c>
      <c r="F44" s="10" t="n">
        <v>10</v>
      </c>
      <c r="G44" s="10" t="n">
        <v>12</v>
      </c>
      <c r="H44" s="10" t="n">
        <v>10</v>
      </c>
      <c r="I44" s="11" t="n">
        <f aca="false">SUM(C44:H44)</f>
        <v>49</v>
      </c>
      <c r="J44" s="10" t="n">
        <v>49</v>
      </c>
      <c r="K44" s="0" t="str">
        <f aca="false">IF(I44=J44,"OK","CHECK")</f>
        <v>OK</v>
      </c>
    </row>
    <row r="45" customFormat="false" ht="15" hidden="false" customHeight="false" outlineLevel="0" collapsed="false">
      <c r="B45" s="6" t="s">
        <v>90</v>
      </c>
      <c r="C45" s="9" t="n">
        <f aca="false">C43-C44</f>
        <v>438</v>
      </c>
      <c r="D45" s="9" t="n">
        <f aca="false">D43-D44</f>
        <v>149</v>
      </c>
      <c r="E45" s="9" t="n">
        <f aca="false">E43-E44</f>
        <v>226</v>
      </c>
      <c r="F45" s="9" t="n">
        <f aca="false">F43-F44</f>
        <v>597</v>
      </c>
      <c r="G45" s="9" t="n">
        <f aca="false">G43-G44</f>
        <v>313</v>
      </c>
      <c r="H45" s="9" t="n">
        <f aca="false">H43-H44</f>
        <v>183</v>
      </c>
      <c r="I45" s="9" t="n">
        <f aca="false">SUM(C45:H45)</f>
        <v>1906</v>
      </c>
    </row>
    <row r="46" customFormat="false" ht="15" hidden="false" customHeight="false" outlineLevel="0" collapsed="false">
      <c r="A46" s="2" t="s">
        <v>92</v>
      </c>
      <c r="B46" s="2" t="s">
        <v>88</v>
      </c>
      <c r="C46" s="10" t="n">
        <v>634</v>
      </c>
      <c r="D46" s="10" t="n">
        <v>189</v>
      </c>
      <c r="E46" s="10" t="n">
        <v>156</v>
      </c>
      <c r="F46" s="10" t="n">
        <v>250</v>
      </c>
      <c r="G46" s="10" t="n">
        <v>128</v>
      </c>
      <c r="H46" s="10" t="n">
        <v>32</v>
      </c>
      <c r="I46" s="11" t="n">
        <f aca="false">SUM(C46:H46)</f>
        <v>1389</v>
      </c>
    </row>
    <row r="47" customFormat="false" ht="15" hidden="false" customHeight="false" outlineLevel="0" collapsed="false">
      <c r="B47" s="2" t="s">
        <v>89</v>
      </c>
      <c r="C47" s="10" t="n">
        <v>0</v>
      </c>
      <c r="D47" s="10" t="n">
        <v>0</v>
      </c>
      <c r="E47" s="10" t="n">
        <v>0</v>
      </c>
      <c r="F47" s="10" t="n">
        <v>0</v>
      </c>
      <c r="G47" s="10" t="n">
        <v>1</v>
      </c>
      <c r="H47" s="10" t="n">
        <v>0</v>
      </c>
      <c r="I47" s="11" t="n">
        <f aca="false">SUM(C47:H47)</f>
        <v>1</v>
      </c>
      <c r="J47" s="10" t="n">
        <v>1</v>
      </c>
      <c r="K47" s="0" t="str">
        <f aca="false">IF(I47=J47,"OK","CHECK")</f>
        <v>OK</v>
      </c>
    </row>
    <row r="48" customFormat="false" ht="15" hidden="false" customHeight="false" outlineLevel="0" collapsed="false">
      <c r="B48" s="6" t="s">
        <v>90</v>
      </c>
      <c r="C48" s="9" t="n">
        <f aca="false">C46-C47</f>
        <v>634</v>
      </c>
      <c r="D48" s="9" t="n">
        <f aca="false">D46-D47</f>
        <v>189</v>
      </c>
      <c r="E48" s="9" t="n">
        <f aca="false">E46-E47</f>
        <v>156</v>
      </c>
      <c r="F48" s="9" t="n">
        <f aca="false">F46-F47</f>
        <v>250</v>
      </c>
      <c r="G48" s="9" t="n">
        <f aca="false">G46-G47</f>
        <v>127</v>
      </c>
      <c r="H48" s="9" t="n">
        <f aca="false">H46-H47</f>
        <v>32</v>
      </c>
      <c r="I48" s="9" t="n">
        <f aca="false">SUM(C48:H48)</f>
        <v>1388</v>
      </c>
    </row>
    <row r="49" customFormat="false" ht="15" hidden="false" customHeight="false" outlineLevel="0" collapsed="false">
      <c r="A49" s="6" t="s">
        <v>68</v>
      </c>
      <c r="B49" s="6" t="s">
        <v>93</v>
      </c>
      <c r="C49" s="9" t="n">
        <f aca="false">C41+C44+C47</f>
        <v>11</v>
      </c>
      <c r="D49" s="9" t="n">
        <f aca="false">D41+D44+D47</f>
        <v>12</v>
      </c>
      <c r="E49" s="9" t="n">
        <f aca="false">E41+E44+E47</f>
        <v>9</v>
      </c>
      <c r="F49" s="9" t="n">
        <f aca="false">F41+F44+F47</f>
        <v>20</v>
      </c>
      <c r="G49" s="9" t="n">
        <f aca="false">G41+G44+G47</f>
        <v>24</v>
      </c>
      <c r="H49" s="9" t="n">
        <f aca="false">H41+H44+H47</f>
        <v>20</v>
      </c>
      <c r="I49" s="9" t="n">
        <f aca="false">I41+I44+I47</f>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2026-09-30T18:37:43Z</dcterms:created>
  <dc:creator>openpyxl</dc:creator>
  <dc:description/>
  <dc:language>en-US</dc:language>
  <cp:lastModifiedBy/>
  <dcterms:modified xsi:type="dcterms:W3CDTF">2026-09-30T18:37:43Z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